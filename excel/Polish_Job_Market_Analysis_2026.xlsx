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b1e7bb91ef34e9d" /></Relationships>
</file>

<file path=xl/workbook.xml><?xml version="1.0" encoding="utf-8"?>
<x:workbook xmlns:x="http://schemas.openxmlformats.org/spreadsheetml/2006/main">
  <x:sheets>
    <x:sheet xmlns:r="http://schemas.openxmlformats.org/officeDocument/2006/relationships" name="Dashboard" sheetId="1" r:id="R4251df7f9d2548da"/>
    <x:sheet xmlns:r="http://schemas.openxmlformats.org/officeDocument/2006/relationships" name="Analysis" sheetId="2" r:id="R413c9d66f3c84f6b"/>
    <x:sheet xmlns:r="http://schemas.openxmlformats.org/officeDocument/2006/relationships" name="Methodology" sheetId="3" r:id="R4d51fb0c2d7c4423"/>
    <x:sheet xmlns:r="http://schemas.openxmlformats.org/officeDocument/2006/relationships" name="Cleaned Data" sheetId="4" r:id="R855531583925451c"/>
    <x:sheet xmlns:r="http://schemas.openxmlformats.org/officeDocument/2006/relationships" name="Offer Tools" sheetId="5" r:id="R92bbcb52e9b5484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23">
    <x:font>
      <x:sz val="11"/>
      <x:name val="Carlito"/>
    </x:font>
    <x:font>
      <x:sz val="10"/>
      <x:color rgb="FF0B1F33"/>
      <x:name val="Aptos"/>
    </x:font>
    <x:font>
      <x:b/>
      <x:sz val="24"/>
      <x:color rgb="FFFFFFFF"/>
      <x:name val="Aptos"/>
    </x:font>
    <x:font>
      <x:i/>
      <x:sz val="11"/>
      <x:color rgb="FF1D4ED8"/>
      <x:name val="Aptos"/>
    </x:font>
    <x:font>
      <x:b/>
      <x:sz val="9"/>
      <x:color rgb="FF1D4ED8"/>
      <x:name val="Aptos"/>
    </x:font>
    <x:font>
      <x:b/>
      <x:sz val="24"/>
      <x:color rgb="FF1D4ED8"/>
      <x:name val="Aptos"/>
    </x:font>
    <x:font>
      <x:b/>
      <x:sz val="9"/>
      <x:color rgb="FF15803D"/>
      <x:name val="Aptos"/>
    </x:font>
    <x:font>
      <x:b/>
      <x:sz val="24"/>
      <x:color rgb="FF15803D"/>
      <x:name val="Aptos"/>
    </x:font>
    <x:font>
      <x:b/>
      <x:sz val="9"/>
      <x:color rgb="FFB45309"/>
      <x:name val="Aptos"/>
    </x:font>
    <x:font>
      <x:b/>
      <x:sz val="24"/>
      <x:color rgb="FFB45309"/>
      <x:name val="Aptos"/>
    </x:font>
    <x:font>
      <x:b/>
      <x:sz val="9"/>
      <x:color rgb="FFDC2626"/>
      <x:name val="Aptos"/>
    </x:font>
    <x:font>
      <x:b/>
      <x:sz val="24"/>
      <x:color rgb="FFDC2626"/>
      <x:name val="Aptos"/>
    </x:font>
    <x:font>
      <x:b/>
      <x:sz val="9"/>
      <x:color rgb="FF475569"/>
      <x:name val="Aptos"/>
    </x:font>
    <x:font>
      <x:b/>
      <x:sz val="15"/>
      <x:color rgb="FF475569"/>
      <x:name val="Aptos"/>
    </x:font>
    <x:font>
      <x:b/>
      <x:sz val="11"/>
      <x:color rgb="FFFFFFFF"/>
      <x:name val="Aptos"/>
    </x:font>
    <x:font>
      <x:sz val="10"/>
      <x:color rgb="FF92400E"/>
      <x:name val="Aptos"/>
    </x:font>
    <x:font>
      <x:i/>
      <x:sz val="9"/>
      <x:color rgb="FF475569"/>
      <x:name val="Aptos"/>
    </x:font>
    <x:font>
      <x:b/>
      <x:sz val="20"/>
      <x:color rgb="FFFFFFFF"/>
      <x:name val="Carlito"/>
    </x:font>
    <x:font>
      <x:b/>
      <x:sz val="11"/>
      <x:color rgb="FFFFFFFF"/>
      <x:name val="Carlito"/>
    </x:font>
    <x:font>
      <x:sz val="10"/>
      <x:color rgb="FF0B1F33"/>
      <x:name val="Carlito"/>
    </x:font>
    <x:font>
      <x:b/>
      <x:sz val="9"/>
      <x:color rgb="FFFFFFFF"/>
      <x:name val="Carlito"/>
    </x:font>
    <x:font>
      <x:b/>
      <x:sz val="10"/>
      <x:color rgb="FFFFFFFF"/>
      <x:name val="Carlito"/>
    </x:font>
    <x:font>
      <x:sz val="9"/>
      <x:color rgb="FF0B1F33"/>
      <x:name val="Aptos"/>
    </x:font>
  </x:fonts>
  <x:fills count="9">
    <x:fill>
      <x:patternFill patternType="none"/>
    </x:fill>
    <x:fill>
      <x:patternFill patternType="gray125"/>
    </x:fill>
    <x:fill>
      <x:patternFill patternType="solid">
        <x:fgColor rgb="FFFFFFFF"/>
      </x:patternFill>
    </x:fill>
    <x:fill>
      <x:patternFill patternType="solid">
        <x:fgColor rgb="FF0B1F33"/>
      </x:patternFill>
    </x:fill>
    <x:fill>
      <x:patternFill patternType="solid">
        <x:fgColor rgb="FFEFF6FF"/>
      </x:patternFill>
    </x:fill>
    <x:fill>
      <x:patternFill patternType="solid">
        <x:fgColor rgb="FFECFDF5"/>
      </x:patternFill>
    </x:fill>
    <x:fill>
      <x:patternFill patternType="solid">
        <x:fgColor rgb="FFFFFBEB"/>
      </x:patternFill>
    </x:fill>
    <x:fill>
      <x:patternFill patternType="solid">
        <x:fgColor rgb="FFFEF2F2"/>
      </x:patternFill>
    </x:fill>
    <x:fill>
      <x:patternFill patternType="solid">
        <x:fgColor rgb="FFF8FAFC"/>
      </x:patternFill>
    </x:fill>
  </x:fills>
  <x:borders count="24">
    <x:border/>
    <x:border>
      <x:left style="thin">
        <x:color rgb="FFE2E8F0"/>
      </x:left>
      <x:top style="thin">
        <x:color rgb="FFE2E8F0"/>
      </x:top>
      <x:bottom style="thin">
        <x:color rgb="FFE2E8F0"/>
      </x:bottom>
    </x:border>
    <x:border>
      <x:top style="thin">
        <x:color rgb="FFE2E8F0"/>
      </x:top>
      <x:bottom style="thin">
        <x:color rgb="FFE2E8F0"/>
      </x:bottom>
    </x:border>
    <x:border>
      <x:right style="thin">
        <x:color rgb="FFE2E8F0"/>
      </x:right>
      <x:top style="thin">
        <x:color rgb="FFE2E8F0"/>
      </x:top>
      <x:bottom style="thin">
        <x:color rgb="FFE2E8F0"/>
      </x:bottom>
    </x:border>
    <x:border>
      <x:left style="thin">
        <x:color rgb="FFE2E8F0"/>
      </x:left>
      <x:top style="thin">
        <x:color rgb="FFE2E8F0"/>
      </x:top>
    </x:border>
    <x:border>
      <x:top style="thin">
        <x:color rgb="FFE2E8F0"/>
      </x:top>
    </x:border>
    <x:border>
      <x:right style="thin">
        <x:color rgb="FFE2E8F0"/>
      </x:right>
      <x:top style="thin">
        <x:color rgb="FFE2E8F0"/>
      </x:top>
    </x:border>
    <x:border>
      <x:left style="thin">
        <x:color rgb="FFE2E8F0"/>
      </x:left>
      <x:bottom style="thin">
        <x:color rgb="FFE2E8F0"/>
      </x:bottom>
    </x:border>
    <x:border>
      <x:bottom style="thin">
        <x:color rgb="FFE2E8F0"/>
      </x:bottom>
    </x:border>
    <x:border>
      <x:right style="thin">
        <x:color rgb="FFE2E8F0"/>
      </x:right>
      <x:bottom style="thin">
        <x:color rgb="FFE2E8F0"/>
      </x:bottom>
    </x:border>
    <x:border>
      <x:left style="thin">
        <x:color rgb="FF0B1F33"/>
      </x:left>
      <x:top style="thin">
        <x:color rgb="FF0B1F33"/>
      </x:top>
      <x:bottom style="thin">
        <x:color rgb="FF0B1F33"/>
      </x:bottom>
    </x:border>
    <x:border>
      <x:right style="thin">
        <x:color rgb="FF0B1F33"/>
      </x:right>
      <x:top style="thin">
        <x:color rgb="FF0B1F33"/>
      </x:top>
      <x:bottom style="thin">
        <x:color rgb="FF0B1F33"/>
      </x:bottom>
    </x:border>
    <x:border>
      <x:left style="thin">
        <x:color rgb="FFE2E8F0"/>
      </x:left>
      <x:right style="thin">
        <x:color rgb="FFE2E8F0"/>
      </x:right>
      <x:top style="thin">
        <x:color rgb="FFE2E8F0"/>
      </x:top>
      <x:bottom style="thin">
        <x:color rgb="FFE2E8F0"/>
      </x:bottom>
    </x:border>
    <x:border>
      <x:left style="thin">
        <x:color rgb="FFE2E8F0"/>
      </x:left>
    </x:border>
    <x:border>
      <x:right style="thin">
        <x:color rgb="FFE2E8F0"/>
      </x:right>
    </x:border>
    <x:border>
      <x:left style="thin">
        <x:color rgb="FFF59E0B"/>
      </x:left>
      <x:top style="thin">
        <x:color rgb="FFF59E0B"/>
      </x:top>
    </x:border>
    <x:border>
      <x:top style="thin">
        <x:color rgb="FFF59E0B"/>
      </x:top>
    </x:border>
    <x:border>
      <x:right style="thin">
        <x:color rgb="FFF59E0B"/>
      </x:right>
      <x:top style="thin">
        <x:color rgb="FFF59E0B"/>
      </x:top>
    </x:border>
    <x:border>
      <x:left style="thin">
        <x:color rgb="FFF59E0B"/>
      </x:left>
    </x:border>
    <x:border>
      <x:right style="thin">
        <x:color rgb="FFF59E0B"/>
      </x:right>
    </x:border>
    <x:border>
      <x:left style="thin">
        <x:color rgb="FFF59E0B"/>
      </x:left>
      <x:bottom style="thin">
        <x:color rgb="FFF59E0B"/>
      </x:bottom>
    </x:border>
    <x:border>
      <x:bottom style="thin">
        <x:color rgb="FFF59E0B"/>
      </x:bottom>
    </x:border>
    <x:border>
      <x:right style="thin">
        <x:color rgb="FFF59E0B"/>
      </x:right>
      <x:bottom style="thin">
        <x:color rgb="FFF59E0B"/>
      </x:bottom>
    </x:border>
    <x:border>
      <x:top style="thin">
        <x:color rgb="FF0B1F33"/>
      </x:top>
      <x:bottom style="thin">
        <x:color rgb="FF0B1F33"/>
      </x:bottom>
    </x:border>
  </x:borders>
  <x:cellStyleXfs count="1">
    <x:xf numFmtId="0" fontId="0" fillId="0" borderId="0"/>
  </x:cellStyleXfs>
  <x:cellXfs count="271">
    <x:xf numFmtId="0" fontId="0" fillId="0" borderId="0" xfId="0"/>
    <x:xf numFmtId="0" fontId="1" fillId="0" borderId="0" xfId="0" applyNumberFormat="1" applyFont="1" applyFill="1" applyBorder="1"/>
    <x:xf numFmtId="0" fontId="1" fillId="2" borderId="0" xfId="0" applyNumberFormat="1" applyFont="1" applyFill="1" applyBorder="1"/>
    <x:xf numFmtId="0" fontId="1"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1"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4" fillId="4" borderId="0" xfId="0" applyNumberFormat="1" applyFont="1" applyFill="1" applyBorder="1"/>
    <x:xf numFmtId="0" fontId="4" fillId="4" borderId="1" xfId="0" applyNumberFormat="1" applyFont="1" applyFill="1" applyBorder="1"/>
    <x:xf numFmtId="0" fontId="4" fillId="4" borderId="2" xfId="0" applyNumberFormat="1" applyFont="1" applyFill="1" applyBorder="1"/>
    <x:xf numFmtId="0" fontId="4" fillId="4" borderId="3" xfId="0" applyNumberFormat="1" applyFont="1" applyFill="1" applyBorder="1"/>
    <x:xf numFmtId="0" fontId="4" fillId="4" borderId="1" xfId="0" applyNumberFormat="1" applyFont="1" applyFill="1" applyBorder="1" applyAlignment="1">
      <x:alignment horizontal="center"/>
    </x:xf>
    <x:xf numFmtId="0" fontId="4" fillId="4" borderId="2" xfId="0" applyNumberFormat="1" applyFont="1" applyFill="1" applyBorder="1" applyAlignment="1">
      <x:alignment horizontal="center"/>
    </x:xf>
    <x:xf numFmtId="0" fontId="4" fillId="4" borderId="3" xfId="0" applyNumberFormat="1" applyFont="1" applyFill="1" applyBorder="1" applyAlignment="1">
      <x:alignment horizontal="center"/>
    </x:xf>
    <x:xf numFmtId="0" fontId="4" fillId="4" borderId="1" xfId="0" applyNumberFormat="1" applyFont="1" applyFill="1" applyBorder="1" applyAlignment="1">
      <x:alignment horizontal="center" vertical="center"/>
    </x:xf>
    <x:xf numFmtId="0" fontId="4" fillId="4" borderId="2" xfId="0" applyNumberFormat="1" applyFont="1" applyFill="1" applyBorder="1" applyAlignment="1">
      <x:alignment horizontal="center" vertical="center"/>
    </x:xf>
    <x:xf numFmtId="0" fontId="4" fillId="4" borderId="3" xfId="0" applyNumberFormat="1" applyFont="1" applyFill="1" applyBorder="1" applyAlignment="1">
      <x:alignment horizontal="center" vertical="center"/>
    </x:xf>
    <x:xf numFmtId="0" fontId="5" fillId="4" borderId="0" xfId="0" applyNumberFormat="1" applyFont="1" applyFill="1" applyBorder="1"/>
    <x:xf numFmtId="0" fontId="5" fillId="4" borderId="4" xfId="0" applyNumberFormat="1" applyFont="1" applyFill="1" applyBorder="1"/>
    <x:xf numFmtId="0" fontId="5" fillId="4" borderId="5" xfId="0" applyNumberFormat="1" applyFont="1" applyFill="1" applyBorder="1"/>
    <x:xf numFmtId="0" fontId="5" fillId="4" borderId="6" xfId="0" applyNumberFormat="1" applyFont="1" applyFill="1" applyBorder="1"/>
    <x:xf numFmtId="0" fontId="5" fillId="4" borderId="7" xfId="0" applyNumberFormat="1" applyFont="1" applyFill="1" applyBorder="1"/>
    <x:xf numFmtId="0" fontId="5" fillId="4" borderId="8" xfId="0" applyNumberFormat="1" applyFont="1" applyFill="1" applyBorder="1"/>
    <x:xf numFmtId="0" fontId="5" fillId="4" borderId="9" xfId="0" applyNumberFormat="1" applyFont="1" applyFill="1" applyBorder="1"/>
    <x:xf numFmtId="0" fontId="5" fillId="4" borderId="4" xfId="0" applyNumberFormat="1" applyFont="1" applyFill="1" applyBorder="1" applyAlignment="1">
      <x:alignment horizontal="center"/>
    </x:xf>
    <x:xf numFmtId="0" fontId="5" fillId="4" borderId="5" xfId="0" applyNumberFormat="1" applyFont="1" applyFill="1" applyBorder="1" applyAlignment="1">
      <x:alignment horizontal="center"/>
    </x:xf>
    <x:xf numFmtId="0" fontId="5" fillId="4" borderId="6" xfId="0" applyNumberFormat="1" applyFont="1" applyFill="1" applyBorder="1" applyAlignment="1">
      <x:alignment horizontal="center"/>
    </x:xf>
    <x:xf numFmtId="0" fontId="5" fillId="4" borderId="7" xfId="0" applyNumberFormat="1" applyFont="1" applyFill="1" applyBorder="1" applyAlignment="1">
      <x:alignment horizontal="center"/>
    </x:xf>
    <x:xf numFmtId="0" fontId="5" fillId="4" borderId="8" xfId="0" applyNumberFormat="1" applyFont="1" applyFill="1" applyBorder="1" applyAlignment="1">
      <x:alignment horizontal="center"/>
    </x:xf>
    <x:xf numFmtId="0" fontId="5" fillId="4" borderId="9" xfId="0" applyNumberFormat="1" applyFont="1" applyFill="1" applyBorder="1" applyAlignment="1">
      <x:alignment horizontal="center"/>
    </x:xf>
    <x:xf numFmtId="0" fontId="5" fillId="4" borderId="4" xfId="0" applyNumberFormat="1" applyFont="1" applyFill="1" applyBorder="1" applyAlignment="1">
      <x:alignment horizontal="center" vertical="center"/>
    </x:xf>
    <x:xf numFmtId="0" fontId="5" fillId="4" borderId="5" xfId="0" applyNumberFormat="1" applyFont="1" applyFill="1" applyBorder="1" applyAlignment="1">
      <x:alignment horizontal="center" vertical="center"/>
    </x:xf>
    <x:xf numFmtId="0" fontId="5" fillId="4" borderId="6" xfId="0" applyNumberFormat="1" applyFont="1" applyFill="1" applyBorder="1" applyAlignment="1">
      <x:alignment horizontal="center" vertical="center"/>
    </x:xf>
    <x:xf numFmtId="0" fontId="5" fillId="4" borderId="7" xfId="0" applyNumberFormat="1" applyFont="1" applyFill="1" applyBorder="1" applyAlignment="1">
      <x:alignment horizontal="center" vertical="center"/>
    </x:xf>
    <x:xf numFmtId="0" fontId="5" fillId="4" borderId="8" xfId="0" applyNumberFormat="1" applyFont="1" applyFill="1" applyBorder="1" applyAlignment="1">
      <x:alignment horizontal="center" vertical="center"/>
    </x:xf>
    <x:xf numFmtId="0" fontId="5" fillId="4" borderId="9" xfId="0" applyNumberFormat="1" applyFont="1" applyFill="1" applyBorder="1" applyAlignment="1">
      <x:alignment horizontal="center" vertical="center"/>
    </x:xf>
    <x:xf numFmtId="0" fontId="1" fillId="5" borderId="0" xfId="0" applyNumberFormat="1" applyFont="1" applyFill="1" applyBorder="1"/>
    <x:xf numFmtId="0" fontId="6" fillId="5" borderId="0" xfId="0" applyNumberFormat="1" applyFont="1" applyFill="1" applyBorder="1"/>
    <x:xf numFmtId="0" fontId="6" fillId="5" borderId="1" xfId="0" applyNumberFormat="1" applyFont="1" applyFill="1" applyBorder="1"/>
    <x:xf numFmtId="0" fontId="6" fillId="5" borderId="2" xfId="0" applyNumberFormat="1" applyFont="1" applyFill="1" applyBorder="1"/>
    <x:xf numFmtId="0" fontId="6" fillId="5" borderId="3" xfId="0" applyNumberFormat="1" applyFont="1" applyFill="1" applyBorder="1"/>
    <x:xf numFmtId="0" fontId="6" fillId="5" borderId="1" xfId="0" applyNumberFormat="1" applyFont="1" applyFill="1" applyBorder="1" applyAlignment="1">
      <x:alignment horizontal="center"/>
    </x:xf>
    <x:xf numFmtId="0" fontId="6" fillId="5" borderId="2" xfId="0" applyNumberFormat="1" applyFont="1" applyFill="1" applyBorder="1" applyAlignment="1">
      <x:alignment horizontal="center"/>
    </x:xf>
    <x:xf numFmtId="0" fontId="6" fillId="5" borderId="3" xfId="0" applyNumberFormat="1" applyFont="1" applyFill="1" applyBorder="1" applyAlignment="1">
      <x:alignment horizontal="center"/>
    </x:xf>
    <x:xf numFmtId="0" fontId="6" fillId="5" borderId="1" xfId="0" applyNumberFormat="1" applyFont="1" applyFill="1" applyBorder="1" applyAlignment="1">
      <x:alignment horizontal="center" vertical="center"/>
    </x:xf>
    <x:xf numFmtId="0" fontId="6" fillId="5" borderId="2" xfId="0" applyNumberFormat="1" applyFont="1" applyFill="1" applyBorder="1" applyAlignment="1">
      <x:alignment horizontal="center" vertical="center"/>
    </x:xf>
    <x:xf numFmtId="0" fontId="6" fillId="5" borderId="3" xfId="0" applyNumberFormat="1" applyFont="1" applyFill="1" applyBorder="1" applyAlignment="1">
      <x:alignment horizontal="center" vertical="center"/>
    </x:xf>
    <x:xf numFmtId="0" fontId="7" fillId="5" borderId="0" xfId="0" applyNumberFormat="1" applyFont="1" applyFill="1" applyBorder="1"/>
    <x:xf numFmtId="0" fontId="7" fillId="5" borderId="4"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8" xfId="0" applyNumberFormat="1" applyFont="1" applyFill="1" applyBorder="1"/>
    <x:xf numFmtId="0" fontId="7" fillId="5" borderId="9" xfId="0" applyNumberFormat="1" applyFont="1" applyFill="1" applyBorder="1"/>
    <x:xf numFmtId="0" fontId="7" fillId="5" borderId="4" xfId="0" applyNumberFormat="1" applyFont="1" applyFill="1" applyBorder="1" applyAlignment="1">
      <x:alignment horizontal="center"/>
    </x:xf>
    <x:xf numFmtId="0" fontId="7" fillId="5" borderId="5" xfId="0" applyNumberFormat="1" applyFont="1" applyFill="1" applyBorder="1" applyAlignment="1">
      <x:alignment horizontal="center"/>
    </x:xf>
    <x:xf numFmtId="0" fontId="7" fillId="5" borderId="6" xfId="0" applyNumberFormat="1" applyFont="1" applyFill="1" applyBorder="1" applyAlignment="1">
      <x:alignment horizontal="center"/>
    </x:xf>
    <x:xf numFmtId="0" fontId="7" fillId="5" borderId="7" xfId="0" applyNumberFormat="1" applyFont="1" applyFill="1" applyBorder="1" applyAlignment="1">
      <x:alignment horizontal="center"/>
    </x:xf>
    <x:xf numFmtId="0" fontId="7" fillId="5" borderId="8" xfId="0" applyNumberFormat="1" applyFont="1" applyFill="1" applyBorder="1" applyAlignment="1">
      <x:alignment horizontal="center"/>
    </x:xf>
    <x:xf numFmtId="0" fontId="7" fillId="5" borderId="9" xfId="0" applyNumberFormat="1" applyFont="1" applyFill="1" applyBorder="1" applyAlignment="1">
      <x:alignment horizontal="center"/>
    </x:xf>
    <x:xf numFmtId="0" fontId="7" fillId="5" borderId="4" xfId="0" applyNumberFormat="1" applyFont="1" applyFill="1" applyBorder="1" applyAlignment="1">
      <x:alignment horizontal="center" vertical="center"/>
    </x:xf>
    <x:xf numFmtId="0" fontId="7" fillId="5" borderId="5" xfId="0" applyNumberFormat="1" applyFont="1" applyFill="1" applyBorder="1" applyAlignment="1">
      <x:alignment horizontal="center" vertical="center"/>
    </x:xf>
    <x:xf numFmtId="0" fontId="7" fillId="5" borderId="6" xfId="0" applyNumberFormat="1" applyFont="1" applyFill="1" applyBorder="1" applyAlignment="1">
      <x:alignment horizontal="center" vertical="center"/>
    </x:xf>
    <x:xf numFmtId="0" fontId="7" fillId="5" borderId="7" xfId="0" applyNumberFormat="1" applyFont="1" applyFill="1" applyBorder="1" applyAlignment="1">
      <x:alignment horizontal="center" vertical="center"/>
    </x:xf>
    <x:xf numFmtId="0" fontId="7" fillId="5" borderId="8" xfId="0" applyNumberFormat="1" applyFont="1" applyFill="1" applyBorder="1" applyAlignment="1">
      <x:alignment horizontal="center" vertical="center"/>
    </x:xf>
    <x:xf numFmtId="0" fontId="7" fillId="5" borderId="9" xfId="0" applyNumberFormat="1" applyFont="1" applyFill="1" applyBorder="1" applyAlignment="1">
      <x:alignment horizontal="center" vertical="center"/>
    </x:xf>
    <x:xf numFmtId="0" fontId="1" fillId="6" borderId="0" xfId="0" applyNumberFormat="1" applyFont="1" applyFill="1" applyBorder="1"/>
    <x:xf numFmtId="0" fontId="8" fillId="6" borderId="0" xfId="0" applyNumberFormat="1" applyFont="1" applyFill="1" applyBorder="1"/>
    <x:xf numFmtId="0" fontId="8" fillId="6" borderId="1" xfId="0" applyNumberFormat="1" applyFont="1" applyFill="1" applyBorder="1"/>
    <x:xf numFmtId="0" fontId="8" fillId="6" borderId="2" xfId="0" applyNumberFormat="1" applyFont="1" applyFill="1" applyBorder="1"/>
    <x:xf numFmtId="0" fontId="8" fillId="6" borderId="3" xfId="0" applyNumberFormat="1" applyFont="1" applyFill="1" applyBorder="1"/>
    <x:xf numFmtId="0" fontId="8" fillId="6" borderId="1" xfId="0" applyNumberFormat="1" applyFont="1" applyFill="1" applyBorder="1" applyAlignment="1">
      <x:alignment horizontal="center"/>
    </x:xf>
    <x:xf numFmtId="0" fontId="8" fillId="6" borderId="2" xfId="0" applyNumberFormat="1" applyFont="1" applyFill="1" applyBorder="1" applyAlignment="1">
      <x:alignment horizontal="center"/>
    </x:xf>
    <x:xf numFmtId="0" fontId="8" fillId="6" borderId="3" xfId="0" applyNumberFormat="1" applyFont="1" applyFill="1" applyBorder="1" applyAlignment="1">
      <x:alignment horizontal="center"/>
    </x:xf>
    <x:xf numFmtId="0" fontId="8" fillId="6" borderId="1" xfId="0" applyNumberFormat="1" applyFont="1" applyFill="1" applyBorder="1" applyAlignment="1">
      <x:alignment horizontal="center" vertical="center"/>
    </x:xf>
    <x:xf numFmtId="0" fontId="8" fillId="6" borderId="2" xfId="0" applyNumberFormat="1" applyFont="1" applyFill="1" applyBorder="1" applyAlignment="1">
      <x:alignment horizontal="center" vertical="center"/>
    </x:xf>
    <x:xf numFmtId="0" fontId="8" fillId="6" borderId="3" xfId="0" applyNumberFormat="1" applyFont="1" applyFill="1" applyBorder="1" applyAlignment="1">
      <x:alignment horizontal="center" vertical="center"/>
    </x:xf>
    <x:xf numFmtId="0" fontId="9" fillId="6" borderId="0" xfId="0" applyNumberFormat="1" applyFont="1" applyFill="1" applyBorder="1"/>
    <x:xf numFmtId="0" fontId="9" fillId="6" borderId="4" xfId="0" applyNumberFormat="1" applyFont="1" applyFill="1" applyBorder="1"/>
    <x:xf numFmtId="0" fontId="9" fillId="6" borderId="5" xfId="0" applyNumberFormat="1" applyFont="1" applyFill="1" applyBorder="1"/>
    <x:xf numFmtId="0" fontId="9" fillId="6" borderId="6" xfId="0" applyNumberFormat="1" applyFont="1" applyFill="1" applyBorder="1"/>
    <x:xf numFmtId="0" fontId="9" fillId="6" borderId="7" xfId="0" applyNumberFormat="1" applyFont="1" applyFill="1" applyBorder="1"/>
    <x:xf numFmtId="0" fontId="9" fillId="6" borderId="8" xfId="0" applyNumberFormat="1" applyFont="1" applyFill="1" applyBorder="1"/>
    <x:xf numFmtId="0" fontId="9" fillId="6" borderId="9" xfId="0" applyNumberFormat="1" applyFont="1" applyFill="1" applyBorder="1"/>
    <x:xf numFmtId="0" fontId="9" fillId="6" borderId="4" xfId="0" applyNumberFormat="1" applyFont="1" applyFill="1" applyBorder="1" applyAlignment="1">
      <x:alignment horizontal="center"/>
    </x:xf>
    <x:xf numFmtId="0" fontId="9" fillId="6" borderId="5" xfId="0" applyNumberFormat="1" applyFont="1" applyFill="1" applyBorder="1" applyAlignment="1">
      <x:alignment horizontal="center"/>
    </x:xf>
    <x:xf numFmtId="0" fontId="9" fillId="6" borderId="6" xfId="0" applyNumberFormat="1" applyFont="1" applyFill="1" applyBorder="1" applyAlignment="1">
      <x:alignment horizontal="center"/>
    </x:xf>
    <x:xf numFmtId="0" fontId="9" fillId="6" borderId="7" xfId="0" applyNumberFormat="1" applyFont="1" applyFill="1" applyBorder="1" applyAlignment="1">
      <x:alignment horizontal="center"/>
    </x:xf>
    <x:xf numFmtId="0" fontId="9" fillId="6" borderId="8" xfId="0" applyNumberFormat="1" applyFont="1" applyFill="1" applyBorder="1" applyAlignment="1">
      <x:alignment horizontal="center"/>
    </x:xf>
    <x:xf numFmtId="0" fontId="9" fillId="6" borderId="9" xfId="0" applyNumberFormat="1" applyFont="1" applyFill="1" applyBorder="1" applyAlignment="1">
      <x:alignment horizontal="center"/>
    </x:xf>
    <x:xf numFmtId="0" fontId="9" fillId="6" borderId="4" xfId="0" applyNumberFormat="1" applyFont="1" applyFill="1" applyBorder="1" applyAlignment="1">
      <x:alignment horizontal="center" vertical="center"/>
    </x:xf>
    <x:xf numFmtId="0" fontId="9" fillId="6" borderId="5" xfId="0" applyNumberFormat="1" applyFont="1" applyFill="1" applyBorder="1" applyAlignment="1">
      <x:alignment horizontal="center" vertical="center"/>
    </x:xf>
    <x:xf numFmtId="0" fontId="9" fillId="6" borderId="6" xfId="0" applyNumberFormat="1" applyFont="1" applyFill="1" applyBorder="1" applyAlignment="1">
      <x:alignment horizontal="center" vertical="center"/>
    </x:xf>
    <x:xf numFmtId="0" fontId="9" fillId="6" borderId="7" xfId="0" applyNumberFormat="1" applyFont="1" applyFill="1" applyBorder="1" applyAlignment="1">
      <x:alignment horizontal="center" vertical="center"/>
    </x:xf>
    <x:xf numFmtId="0" fontId="9" fillId="6" borderId="8" xfId="0" applyNumberFormat="1" applyFont="1" applyFill="1" applyBorder="1" applyAlignment="1">
      <x:alignment horizontal="center" vertical="center"/>
    </x:xf>
    <x:xf numFmtId="0" fontId="9" fillId="6" borderId="9" xfId="0" applyNumberFormat="1" applyFont="1" applyFill="1" applyBorder="1" applyAlignment="1">
      <x:alignment horizontal="center" vertical="center"/>
    </x:xf>
    <x:xf numFmtId="0" fontId="1" fillId="7" borderId="0" xfId="0" applyNumberFormat="1" applyFont="1" applyFill="1" applyBorder="1"/>
    <x:xf numFmtId="0" fontId="10" fillId="7" borderId="0" xfId="0" applyNumberFormat="1" applyFont="1" applyFill="1" applyBorder="1"/>
    <x:xf numFmtId="0" fontId="10" fillId="7" borderId="1" xfId="0" applyNumberFormat="1" applyFont="1" applyFill="1" applyBorder="1"/>
    <x:xf numFmtId="0" fontId="10" fillId="7" borderId="2" xfId="0" applyNumberFormat="1" applyFont="1" applyFill="1" applyBorder="1"/>
    <x:xf numFmtId="0" fontId="10" fillId="7" borderId="3" xfId="0" applyNumberFormat="1" applyFont="1" applyFill="1" applyBorder="1"/>
    <x:xf numFmtId="0" fontId="10" fillId="7" borderId="1" xfId="0" applyNumberFormat="1" applyFont="1" applyFill="1" applyBorder="1" applyAlignment="1">
      <x:alignment horizontal="center"/>
    </x:xf>
    <x:xf numFmtId="0" fontId="10" fillId="7" borderId="2" xfId="0" applyNumberFormat="1" applyFont="1" applyFill="1" applyBorder="1" applyAlignment="1">
      <x:alignment horizontal="center"/>
    </x:xf>
    <x:xf numFmtId="0" fontId="10" fillId="7" borderId="3" xfId="0" applyNumberFormat="1" applyFont="1" applyFill="1" applyBorder="1" applyAlignment="1">
      <x:alignment horizontal="center"/>
    </x:xf>
    <x:xf numFmtId="0" fontId="10" fillId="7" borderId="1" xfId="0" applyNumberFormat="1" applyFont="1" applyFill="1" applyBorder="1" applyAlignment="1">
      <x:alignment horizontal="center" vertical="center"/>
    </x:xf>
    <x:xf numFmtId="0" fontId="10" fillId="7" borderId="2" xfId="0" applyNumberFormat="1" applyFont="1" applyFill="1" applyBorder="1" applyAlignment="1">
      <x:alignment horizontal="center" vertical="center"/>
    </x:xf>
    <x:xf numFmtId="0" fontId="10" fillId="7" borderId="3" xfId="0" applyNumberFormat="1" applyFont="1" applyFill="1" applyBorder="1" applyAlignment="1">
      <x:alignment horizontal="center" vertical="center"/>
    </x:xf>
    <x:xf numFmtId="0" fontId="11" fillId="7" borderId="0" xfId="0" applyNumberFormat="1" applyFont="1" applyFill="1" applyBorder="1"/>
    <x:xf numFmtId="0" fontId="11" fillId="7" borderId="4" xfId="0" applyNumberFormat="1" applyFont="1" applyFill="1" applyBorder="1"/>
    <x:xf numFmtId="0" fontId="11" fillId="7" borderId="5" xfId="0" applyNumberFormat="1" applyFont="1" applyFill="1" applyBorder="1"/>
    <x:xf numFmtId="0" fontId="11" fillId="7" borderId="6" xfId="0" applyNumberFormat="1" applyFont="1" applyFill="1" applyBorder="1"/>
    <x:xf numFmtId="0" fontId="11" fillId="7" borderId="7" xfId="0" applyNumberFormat="1" applyFont="1" applyFill="1" applyBorder="1"/>
    <x:xf numFmtId="0" fontId="11" fillId="7" borderId="8" xfId="0" applyNumberFormat="1" applyFont="1" applyFill="1" applyBorder="1"/>
    <x:xf numFmtId="0" fontId="11" fillId="7" borderId="9" xfId="0" applyNumberFormat="1" applyFont="1" applyFill="1" applyBorder="1"/>
    <x:xf numFmtId="0" fontId="11" fillId="7" borderId="4" xfId="0" applyNumberFormat="1" applyFont="1" applyFill="1" applyBorder="1" applyAlignment="1">
      <x:alignment horizontal="center"/>
    </x:xf>
    <x:xf numFmtId="0" fontId="11" fillId="7" borderId="5" xfId="0" applyNumberFormat="1" applyFont="1" applyFill="1" applyBorder="1" applyAlignment="1">
      <x:alignment horizontal="center"/>
    </x:xf>
    <x:xf numFmtId="0" fontId="11" fillId="7" borderId="6" xfId="0" applyNumberFormat="1" applyFont="1" applyFill="1" applyBorder="1" applyAlignment="1">
      <x:alignment horizontal="center"/>
    </x:xf>
    <x:xf numFmtId="0" fontId="11" fillId="7" borderId="7" xfId="0" applyNumberFormat="1" applyFont="1" applyFill="1" applyBorder="1" applyAlignment="1">
      <x:alignment horizontal="center"/>
    </x:xf>
    <x:xf numFmtId="0" fontId="11" fillId="7" borderId="8" xfId="0" applyNumberFormat="1" applyFont="1" applyFill="1" applyBorder="1" applyAlignment="1">
      <x:alignment horizontal="center"/>
    </x:xf>
    <x:xf numFmtId="0" fontId="11" fillId="7" borderId="9" xfId="0" applyNumberFormat="1" applyFont="1" applyFill="1" applyBorder="1" applyAlignment="1">
      <x:alignment horizontal="center"/>
    </x:xf>
    <x:xf numFmtId="0" fontId="11" fillId="7" borderId="4" xfId="0" applyNumberFormat="1" applyFont="1" applyFill="1" applyBorder="1" applyAlignment="1">
      <x:alignment horizontal="center" vertical="center"/>
    </x:xf>
    <x:xf numFmtId="0" fontId="11" fillId="7" borderId="5" xfId="0" applyNumberFormat="1" applyFont="1" applyFill="1" applyBorder="1" applyAlignment="1">
      <x:alignment horizontal="center" vertical="center"/>
    </x:xf>
    <x:xf numFmtId="0" fontId="11" fillId="7" borderId="6" xfId="0" applyNumberFormat="1" applyFont="1" applyFill="1" applyBorder="1" applyAlignment="1">
      <x:alignment horizontal="center" vertical="center"/>
    </x:xf>
    <x:xf numFmtId="0" fontId="11" fillId="7" borderId="7" xfId="0" applyNumberFormat="1" applyFont="1" applyFill="1" applyBorder="1" applyAlignment="1">
      <x:alignment horizontal="center" vertical="center"/>
    </x:xf>
    <x:xf numFmtId="0" fontId="11" fillId="7" borderId="8" xfId="0" applyNumberFormat="1" applyFont="1" applyFill="1" applyBorder="1" applyAlignment="1">
      <x:alignment horizontal="center" vertical="center"/>
    </x:xf>
    <x:xf numFmtId="0" fontId="11" fillId="7" borderId="9" xfId="0" applyNumberFormat="1" applyFont="1" applyFill="1" applyBorder="1" applyAlignment="1">
      <x:alignment horizontal="center" vertical="center"/>
    </x:xf>
    <x:xf numFmtId="0" fontId="1" fillId="8" borderId="0" xfId="0" applyNumberFormat="1" applyFont="1" applyFill="1" applyBorder="1"/>
    <x:xf numFmtId="0" fontId="12" fillId="8" borderId="0" xfId="0" applyNumberFormat="1" applyFont="1" applyFill="1" applyBorder="1"/>
    <x:xf numFmtId="0" fontId="12" fillId="8" borderId="1" xfId="0" applyNumberFormat="1" applyFont="1" applyFill="1" applyBorder="1"/>
    <x:xf numFmtId="0" fontId="12" fillId="8" borderId="2" xfId="0" applyNumberFormat="1" applyFont="1" applyFill="1" applyBorder="1"/>
    <x:xf numFmtId="0" fontId="12" fillId="8" borderId="3" xfId="0" applyNumberFormat="1" applyFont="1" applyFill="1" applyBorder="1"/>
    <x:xf numFmtId="0" fontId="12" fillId="8" borderId="1" xfId="0" applyNumberFormat="1" applyFont="1" applyFill="1" applyBorder="1" applyAlignment="1">
      <x:alignment horizontal="center"/>
    </x:xf>
    <x:xf numFmtId="0" fontId="12" fillId="8" borderId="2" xfId="0" applyNumberFormat="1" applyFont="1" applyFill="1" applyBorder="1" applyAlignment="1">
      <x:alignment horizontal="center"/>
    </x:xf>
    <x:xf numFmtId="0" fontId="12" fillId="8" borderId="3" xfId="0" applyNumberFormat="1" applyFont="1" applyFill="1" applyBorder="1" applyAlignment="1">
      <x:alignment horizontal="center"/>
    </x:xf>
    <x:xf numFmtId="0" fontId="12" fillId="8" borderId="1" xfId="0" applyNumberFormat="1" applyFont="1" applyFill="1" applyBorder="1" applyAlignment="1">
      <x:alignment horizontal="center" vertical="center"/>
    </x:xf>
    <x:xf numFmtId="0" fontId="12" fillId="8" borderId="2" xfId="0" applyNumberFormat="1" applyFont="1" applyFill="1" applyBorder="1" applyAlignment="1">
      <x:alignment horizontal="center" vertical="center"/>
    </x:xf>
    <x:xf numFmtId="0" fontId="12" fillId="8" borderId="3" xfId="0" applyNumberFormat="1" applyFont="1" applyFill="1" applyBorder="1" applyAlignment="1">
      <x:alignment horizontal="center" vertical="center"/>
    </x:xf>
    <x:xf numFmtId="0" fontId="13" fillId="8" borderId="0" xfId="0" applyNumberFormat="1" applyFont="1" applyFill="1" applyBorder="1"/>
    <x:xf numFmtId="0" fontId="13" fillId="8" borderId="4" xfId="0" applyNumberFormat="1" applyFont="1" applyFill="1" applyBorder="1"/>
    <x:xf numFmtId="0" fontId="13" fillId="8" borderId="5" xfId="0" applyNumberFormat="1" applyFont="1" applyFill="1" applyBorder="1"/>
    <x:xf numFmtId="0" fontId="13" fillId="8" borderId="6" xfId="0" applyNumberFormat="1" applyFont="1" applyFill="1" applyBorder="1"/>
    <x:xf numFmtId="0" fontId="13" fillId="8" borderId="7" xfId="0" applyNumberFormat="1" applyFont="1" applyFill="1" applyBorder="1"/>
    <x:xf numFmtId="0" fontId="13" fillId="8" borderId="8" xfId="0" applyNumberFormat="1" applyFont="1" applyFill="1" applyBorder="1"/>
    <x:xf numFmtId="0" fontId="13" fillId="8" borderId="9" xfId="0" applyNumberFormat="1" applyFont="1" applyFill="1" applyBorder="1"/>
    <x:xf numFmtId="0" fontId="13" fillId="8" borderId="4" xfId="0" applyNumberFormat="1" applyFont="1" applyFill="1" applyBorder="1" applyAlignment="1">
      <x:alignment horizontal="center"/>
    </x:xf>
    <x:xf numFmtId="0" fontId="13" fillId="8" borderId="5" xfId="0" applyNumberFormat="1" applyFont="1" applyFill="1" applyBorder="1" applyAlignment="1">
      <x:alignment horizontal="center"/>
    </x:xf>
    <x:xf numFmtId="0" fontId="13" fillId="8" borderId="6" xfId="0" applyNumberFormat="1" applyFont="1" applyFill="1" applyBorder="1" applyAlignment="1">
      <x:alignment horizontal="center"/>
    </x:xf>
    <x:xf numFmtId="0" fontId="13" fillId="8" borderId="7" xfId="0" applyNumberFormat="1" applyFont="1" applyFill="1" applyBorder="1" applyAlignment="1">
      <x:alignment horizontal="center"/>
    </x:xf>
    <x:xf numFmtId="0" fontId="13" fillId="8" borderId="8" xfId="0" applyNumberFormat="1" applyFont="1" applyFill="1" applyBorder="1" applyAlignment="1">
      <x:alignment horizontal="center"/>
    </x:xf>
    <x:xf numFmtId="0" fontId="13" fillId="8" borderId="9" xfId="0" applyNumberFormat="1" applyFont="1" applyFill="1" applyBorder="1" applyAlignment="1">
      <x:alignment horizontal="center"/>
    </x:xf>
    <x:xf numFmtId="0" fontId="13" fillId="8" borderId="4" xfId="0" applyNumberFormat="1" applyFont="1" applyFill="1" applyBorder="1" applyAlignment="1">
      <x:alignment horizontal="center" vertical="center"/>
    </x:xf>
    <x:xf numFmtId="0" fontId="13" fillId="8" borderId="5" xfId="0" applyNumberFormat="1" applyFont="1" applyFill="1" applyBorder="1" applyAlignment="1">
      <x:alignment horizontal="center" vertical="center"/>
    </x:xf>
    <x:xf numFmtId="0" fontId="13" fillId="8" borderId="6" xfId="0" applyNumberFormat="1" applyFont="1" applyFill="1" applyBorder="1" applyAlignment="1">
      <x:alignment horizontal="center" vertical="center"/>
    </x:xf>
    <x:xf numFmtId="0" fontId="13" fillId="8" borderId="7" xfId="0" applyNumberFormat="1" applyFont="1" applyFill="1" applyBorder="1" applyAlignment="1">
      <x:alignment horizontal="center" vertical="center"/>
    </x:xf>
    <x:xf numFmtId="0" fontId="13" fillId="8" borderId="8" xfId="0" applyNumberFormat="1" applyFont="1" applyFill="1" applyBorder="1" applyAlignment="1">
      <x:alignment horizontal="center" vertical="center"/>
    </x:xf>
    <x:xf numFmtId="0" fontId="13" fillId="8" borderId="9" xfId="0" applyNumberFormat="1" applyFont="1" applyFill="1" applyBorder="1" applyAlignment="1">
      <x:alignment horizontal="center" vertical="center"/>
    </x:xf>
    <x:xf numFmtId="0" fontId="14" fillId="3" borderId="0" xfId="0" applyNumberFormat="1" applyFont="1" applyFill="1" applyBorder="1"/>
    <x:xf numFmtId="0" fontId="14" fillId="3" borderId="10" xfId="0" applyNumberFormat="1" applyFont="1" applyFill="1" applyBorder="1"/>
    <x:xf numFmtId="0" fontId="14" fillId="3" borderId="11" xfId="0" applyNumberFormat="1" applyFont="1" applyFill="1" applyBorder="1"/>
    <x:xf numFmtId="0" fontId="14" fillId="3" borderId="10" xfId="0" applyNumberFormat="1" applyFont="1" applyFill="1" applyBorder="1" applyAlignment="1">
      <x:alignment vertical="center"/>
    </x:xf>
    <x:xf numFmtId="0" fontId="14" fillId="3" borderId="11" xfId="0" applyNumberFormat="1" applyFont="1" applyFill="1" applyBorder="1" applyAlignment="1">
      <x:alignment vertical="center"/>
    </x:xf>
    <x:xf numFmtId="0" fontId="1" fillId="2" borderId="12" xfId="0" applyNumberFormat="1" applyFont="1" applyFill="1" applyBorder="1"/>
    <x:xf numFmtId="200" fontId="1" fillId="2" borderId="12" xfId="0" applyNumberFormat="1" applyFont="1" applyFill="1" applyBorder="1"/>
    <x:xf numFmtId="200" fontId="1" fillId="0" borderId="0" xfId="0" applyNumberFormat="1" applyFont="1" applyFill="1" applyBorder="1"/>
    <x:xf numFmtId="200" fontId="14" fillId="3" borderId="11" xfId="0" applyNumberFormat="1" applyFont="1" applyFill="1" applyBorder="1" applyAlignment="1">
      <x:alignment vertical="center"/>
    </x:xf>
    <x:xf numFmtId="0" fontId="14" fillId="3" borderId="0" xfId="0" applyNumberFormat="1" applyFont="1" applyFill="1" applyBorder="1" applyAlignment="1">
      <x:alignment vertical="center"/>
    </x:xf>
    <x:xf numFmtId="0" fontId="1" fillId="4" borderId="4" xfId="0" applyNumberFormat="1" applyFont="1" applyFill="1" applyBorder="1"/>
    <x:xf numFmtId="0" fontId="1" fillId="4" borderId="5" xfId="0" applyNumberFormat="1" applyFont="1" applyFill="1" applyBorder="1"/>
    <x:xf numFmtId="0" fontId="1" fillId="4" borderId="6" xfId="0" applyNumberFormat="1" applyFont="1" applyFill="1" applyBorder="1"/>
    <x:xf numFmtId="0" fontId="1" fillId="4" borderId="13" xfId="0" applyNumberFormat="1" applyFont="1" applyFill="1" applyBorder="1"/>
    <x:xf numFmtId="0" fontId="1" fillId="4" borderId="14" xfId="0" applyNumberFormat="1" applyFont="1" applyFill="1" applyBorder="1"/>
    <x:xf numFmtId="0" fontId="1" fillId="4" borderId="7" xfId="0" applyNumberFormat="1" applyFont="1" applyFill="1" applyBorder="1"/>
    <x:xf numFmtId="0" fontId="1" fillId="4" borderId="8" xfId="0" applyNumberFormat="1" applyFont="1" applyFill="1" applyBorder="1"/>
    <x:xf numFmtId="0" fontId="1" fillId="4" borderId="9" xfId="0" applyNumberFormat="1" applyFont="1" applyFill="1" applyBorder="1"/>
    <x:xf numFmtId="0" fontId="1" fillId="4" borderId="4" xfId="0" applyNumberFormat="1" applyFont="1" applyFill="1" applyBorder="1" applyAlignment="1">
      <x:alignment wrapText="1"/>
    </x:xf>
    <x:xf numFmtId="0" fontId="1" fillId="4" borderId="5" xfId="0" applyNumberFormat="1" applyFont="1" applyFill="1" applyBorder="1" applyAlignment="1">
      <x:alignment wrapText="1"/>
    </x:xf>
    <x:xf numFmtId="0" fontId="1" fillId="4" borderId="6" xfId="0" applyNumberFormat="1" applyFont="1" applyFill="1" applyBorder="1" applyAlignment="1">
      <x:alignment wrapText="1"/>
    </x:xf>
    <x:xf numFmtId="0" fontId="1" fillId="4" borderId="13" xfId="0" applyNumberFormat="1" applyFont="1" applyFill="1" applyBorder="1" applyAlignment="1">
      <x:alignment wrapText="1"/>
    </x:xf>
    <x:xf numFmtId="0" fontId="1" fillId="4" borderId="0" xfId="0" applyNumberFormat="1" applyFont="1" applyFill="1" applyBorder="1" applyAlignment="1">
      <x:alignment wrapText="1"/>
    </x:xf>
    <x:xf numFmtId="0" fontId="1" fillId="4" borderId="14" xfId="0" applyNumberFormat="1" applyFont="1" applyFill="1" applyBorder="1" applyAlignment="1">
      <x:alignment wrapText="1"/>
    </x:xf>
    <x:xf numFmtId="0" fontId="1" fillId="4" borderId="7" xfId="0" applyNumberFormat="1" applyFont="1" applyFill="1" applyBorder="1" applyAlignment="1">
      <x:alignment wrapText="1"/>
    </x:xf>
    <x:xf numFmtId="0" fontId="1" fillId="4" borderId="8" xfId="0" applyNumberFormat="1" applyFont="1" applyFill="1" applyBorder="1" applyAlignment="1">
      <x:alignment wrapText="1"/>
    </x:xf>
    <x:xf numFmtId="0" fontId="1" fillId="4" borderId="9" xfId="0" applyNumberFormat="1" applyFont="1" applyFill="1" applyBorder="1" applyAlignment="1">
      <x:alignment wrapText="1"/>
    </x:xf>
    <x:xf numFmtId="0" fontId="1" fillId="4" borderId="4" xfId="0" applyNumberFormat="1" applyFont="1" applyFill="1" applyBorder="1" applyAlignment="1">
      <x:alignment vertical="top" wrapText="1"/>
    </x:xf>
    <x:xf numFmtId="0" fontId="1" fillId="4" borderId="5" xfId="0" applyNumberFormat="1" applyFont="1" applyFill="1" applyBorder="1" applyAlignment="1">
      <x:alignment vertical="top" wrapText="1"/>
    </x:xf>
    <x:xf numFmtId="0" fontId="1" fillId="4" borderId="6" xfId="0" applyNumberFormat="1" applyFont="1" applyFill="1" applyBorder="1" applyAlignment="1">
      <x:alignment vertical="top" wrapText="1"/>
    </x:xf>
    <x:xf numFmtId="0" fontId="1" fillId="4" borderId="13"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14" xfId="0" applyNumberFormat="1" applyFont="1" applyFill="1" applyBorder="1" applyAlignment="1">
      <x:alignment vertical="top" wrapText="1"/>
    </x:xf>
    <x:xf numFmtId="0" fontId="1" fillId="4" borderId="7" xfId="0" applyNumberFormat="1" applyFont="1" applyFill="1" applyBorder="1" applyAlignment="1">
      <x:alignment vertical="top" wrapText="1"/>
    </x:xf>
    <x:xf numFmtId="0" fontId="1" fillId="4" borderId="8" xfId="0" applyNumberFormat="1" applyFont="1" applyFill="1" applyBorder="1" applyAlignment="1">
      <x:alignment vertical="top" wrapText="1"/>
    </x:xf>
    <x:xf numFmtId="0" fontId="1" fillId="4" borderId="9" xfId="0" applyNumberFormat="1" applyFont="1" applyFill="1" applyBorder="1" applyAlignment="1">
      <x:alignment vertical="top" wrapText="1"/>
    </x:xf>
    <x:xf numFmtId="0" fontId="15" fillId="6" borderId="0" xfId="0" applyNumberFormat="1" applyFont="1" applyFill="1" applyBorder="1"/>
    <x:xf numFmtId="0" fontId="15" fillId="6" borderId="15" xfId="0" applyNumberFormat="1" applyFont="1" applyFill="1" applyBorder="1"/>
    <x:xf numFmtId="0" fontId="15" fillId="6" borderId="16" xfId="0" applyNumberFormat="1" applyFont="1" applyFill="1" applyBorder="1"/>
    <x:xf numFmtId="0" fontId="15" fillId="6" borderId="17" xfId="0" applyNumberFormat="1" applyFont="1" applyFill="1" applyBorder="1"/>
    <x:xf numFmtId="0" fontId="15" fillId="6" borderId="18" xfId="0" applyNumberFormat="1" applyFont="1" applyFill="1" applyBorder="1"/>
    <x:xf numFmtId="0" fontId="15" fillId="6" borderId="19" xfId="0" applyNumberFormat="1" applyFont="1" applyFill="1" applyBorder="1"/>
    <x:xf numFmtId="0" fontId="15" fillId="6" borderId="20" xfId="0" applyNumberFormat="1" applyFont="1" applyFill="1" applyBorder="1"/>
    <x:xf numFmtId="0" fontId="15" fillId="6" borderId="21" xfId="0" applyNumberFormat="1" applyFont="1" applyFill="1" applyBorder="1"/>
    <x:xf numFmtId="0" fontId="15" fillId="6" borderId="22" xfId="0" applyNumberFormat="1" applyFont="1" applyFill="1" applyBorder="1"/>
    <x:xf numFmtId="0" fontId="15" fillId="6" borderId="15" xfId="0" applyNumberFormat="1" applyFont="1" applyFill="1" applyBorder="1" applyAlignment="1">
      <x:alignment wrapText="1"/>
    </x:xf>
    <x:xf numFmtId="0" fontId="15" fillId="6" borderId="16" xfId="0" applyNumberFormat="1" applyFont="1" applyFill="1" applyBorder="1" applyAlignment="1">
      <x:alignment wrapText="1"/>
    </x:xf>
    <x:xf numFmtId="0" fontId="15" fillId="6" borderId="17" xfId="0" applyNumberFormat="1" applyFont="1" applyFill="1" applyBorder="1" applyAlignment="1">
      <x:alignment wrapText="1"/>
    </x:xf>
    <x:xf numFmtId="0" fontId="15" fillId="6" borderId="18" xfId="0" applyNumberFormat="1" applyFont="1" applyFill="1" applyBorder="1" applyAlignment="1">
      <x:alignment wrapText="1"/>
    </x:xf>
    <x:xf numFmtId="0" fontId="15" fillId="6" borderId="0" xfId="0" applyNumberFormat="1" applyFont="1" applyFill="1" applyBorder="1" applyAlignment="1">
      <x:alignment wrapText="1"/>
    </x:xf>
    <x:xf numFmtId="0" fontId="15" fillId="6" borderId="19" xfId="0" applyNumberFormat="1" applyFont="1" applyFill="1" applyBorder="1" applyAlignment="1">
      <x:alignment wrapText="1"/>
    </x:xf>
    <x:xf numFmtId="0" fontId="15" fillId="6" borderId="20" xfId="0" applyNumberFormat="1" applyFont="1" applyFill="1" applyBorder="1" applyAlignment="1">
      <x:alignment wrapText="1"/>
    </x:xf>
    <x:xf numFmtId="0" fontId="15" fillId="6" borderId="21" xfId="0" applyNumberFormat="1" applyFont="1" applyFill="1" applyBorder="1" applyAlignment="1">
      <x:alignment wrapText="1"/>
    </x:xf>
    <x:xf numFmtId="0" fontId="15" fillId="6" borderId="22" xfId="0" applyNumberFormat="1" applyFont="1" applyFill="1" applyBorder="1" applyAlignment="1">
      <x:alignment wrapText="1"/>
    </x:xf>
    <x:xf numFmtId="0" fontId="15" fillId="6" borderId="15" xfId="0" applyNumberFormat="1" applyFont="1" applyFill="1" applyBorder="1" applyAlignment="1">
      <x:alignment vertical="top" wrapText="1"/>
    </x:xf>
    <x:xf numFmtId="0" fontId="15" fillId="6" borderId="16" xfId="0" applyNumberFormat="1" applyFont="1" applyFill="1" applyBorder="1" applyAlignment="1">
      <x:alignment vertical="top" wrapText="1"/>
    </x:xf>
    <x:xf numFmtId="0" fontId="15" fillId="6" borderId="17" xfId="0" applyNumberFormat="1" applyFont="1" applyFill="1" applyBorder="1" applyAlignment="1">
      <x:alignment vertical="top" wrapText="1"/>
    </x:xf>
    <x:xf numFmtId="0" fontId="15" fillId="6" borderId="18" xfId="0" applyNumberFormat="1" applyFont="1" applyFill="1" applyBorder="1" applyAlignment="1">
      <x:alignment vertical="top" wrapText="1"/>
    </x:xf>
    <x:xf numFmtId="0" fontId="15" fillId="6" borderId="0" xfId="0" applyNumberFormat="1" applyFont="1" applyFill="1" applyBorder="1" applyAlignment="1">
      <x:alignment vertical="top" wrapText="1"/>
    </x:xf>
    <x:xf numFmtId="0" fontId="15" fillId="6" borderId="19" xfId="0" applyNumberFormat="1" applyFont="1" applyFill="1" applyBorder="1" applyAlignment="1">
      <x:alignment vertical="top" wrapText="1"/>
    </x:xf>
    <x:xf numFmtId="0" fontId="15" fillId="6" borderId="20" xfId="0" applyNumberFormat="1" applyFont="1" applyFill="1" applyBorder="1" applyAlignment="1">
      <x:alignment vertical="top" wrapText="1"/>
    </x:xf>
    <x:xf numFmtId="0" fontId="15" fillId="6" borderId="21" xfId="0" applyNumberFormat="1" applyFont="1" applyFill="1" applyBorder="1" applyAlignment="1">
      <x:alignment vertical="top" wrapText="1"/>
    </x:xf>
    <x:xf numFmtId="0" fontId="15" fillId="6" borderId="22" xfId="0" applyNumberFormat="1" applyFont="1" applyFill="1" applyBorder="1" applyAlignment="1">
      <x:alignment vertical="top" wrapText="1"/>
    </x:xf>
    <x:xf numFmtId="0" fontId="16" fillId="8" borderId="0" xfId="0" applyNumberFormat="1" applyFont="1" applyFill="1" applyBorder="1"/>
    <x:xf numFmtId="0" fontId="16" fillId="8" borderId="0" xfId="0" applyNumberFormat="1" applyFont="1" applyFill="1" applyBorder="1" applyAlignment="1">
      <x:alignment wrapText="1"/>
    </x:xf>
    <x:xf numFmtId="0" fontId="16" fillId="8" borderId="0" xfId="0" applyNumberFormat="1" applyFont="1" applyFill="1" applyBorder="1" applyAlignment="1">
      <x:alignment vertical="center" wrapText="1"/>
    </x:xf>
    <x:xf numFmtId="0" fontId="0" fillId="3" borderId="0" xfId="0" applyNumberFormat="1" applyFont="1" applyFill="1" applyBorder="1"/>
    <x:xf numFmtId="0" fontId="17" fillId="3" borderId="0" xfId="0" applyNumberFormat="1" applyFont="1" applyFill="1" applyBorder="1"/>
    <x:xf numFmtId="0" fontId="17" fillId="3" borderId="0" xfId="0" applyNumberFormat="1" applyFont="1" applyFill="1" applyBorder="1" applyAlignment="1">
      <x:alignment vertical="center"/>
    </x:xf>
    <x:xf numFmtId="0" fontId="18" fillId="3" borderId="0" xfId="0" applyNumberFormat="1" applyFont="1" applyFill="1" applyBorder="1"/>
    <x:xf numFmtId="0" fontId="18" fillId="3" borderId="10" xfId="0" applyNumberFormat="1" applyFont="1" applyFill="1" applyBorder="1"/>
    <x:xf numFmtId="0" fontId="18" fillId="3" borderId="23" xfId="0" applyNumberFormat="1" applyFont="1" applyFill="1" applyBorder="1"/>
    <x:xf numFmtId="0" fontId="18" fillId="3" borderId="11" xfId="0" applyNumberFormat="1" applyFont="1" applyFill="1" applyBorder="1"/>
    <x:xf numFmtId="0" fontId="18" fillId="3" borderId="10" xfId="0" applyNumberFormat="1" applyFont="1" applyFill="1" applyBorder="1" applyAlignment="1">
      <x:alignment vertical="center"/>
    </x:xf>
    <x:xf numFmtId="0" fontId="18" fillId="3" borderId="23" xfId="0" applyNumberFormat="1" applyFont="1" applyFill="1" applyBorder="1" applyAlignment="1">
      <x:alignment vertical="center"/>
    </x:xf>
    <x:xf numFmtId="0" fontId="18" fillId="3" borderId="11" xfId="0" applyNumberFormat="1" applyFont="1" applyFill="1" applyBorder="1" applyAlignment="1">
      <x:alignment vertical="center"/>
    </x:xf>
    <x:xf numFmtId="0" fontId="0" fillId="8" borderId="0" xfId="0" applyNumberFormat="1" applyFont="1" applyFill="1" applyBorder="1"/>
    <x:xf numFmtId="0" fontId="19" fillId="8" borderId="0" xfId="0" applyNumberFormat="1" applyFont="1" applyFill="1" applyBorder="1"/>
    <x:xf numFmtId="0" fontId="19" fillId="8" borderId="4" xfId="0" applyNumberFormat="1" applyFont="1" applyFill="1" applyBorder="1"/>
    <x:xf numFmtId="0" fontId="19" fillId="8" borderId="5" xfId="0" applyNumberFormat="1" applyFont="1" applyFill="1" applyBorder="1"/>
    <x:xf numFmtId="0" fontId="19" fillId="8" borderId="6" xfId="0" applyNumberFormat="1" applyFont="1" applyFill="1" applyBorder="1"/>
    <x:xf numFmtId="0" fontId="19" fillId="8" borderId="13" xfId="0" applyNumberFormat="1" applyFont="1" applyFill="1" applyBorder="1"/>
    <x:xf numFmtId="0" fontId="19" fillId="8" borderId="14" xfId="0" applyNumberFormat="1" applyFont="1" applyFill="1" applyBorder="1"/>
    <x:xf numFmtId="0" fontId="19" fillId="8" borderId="7" xfId="0" applyNumberFormat="1" applyFont="1" applyFill="1" applyBorder="1"/>
    <x:xf numFmtId="0" fontId="19" fillId="8" borderId="8" xfId="0" applyNumberFormat="1" applyFont="1" applyFill="1" applyBorder="1"/>
    <x:xf numFmtId="0" fontId="19" fillId="8" borderId="9" xfId="0" applyNumberFormat="1" applyFont="1" applyFill="1" applyBorder="1"/>
    <x:xf numFmtId="0" fontId="19" fillId="8" borderId="4" xfId="0" applyNumberFormat="1" applyFont="1" applyFill="1" applyBorder="1" applyAlignment="1">
      <x:alignment wrapText="1"/>
    </x:xf>
    <x:xf numFmtId="0" fontId="19" fillId="8" borderId="5" xfId="0" applyNumberFormat="1" applyFont="1" applyFill="1" applyBorder="1" applyAlignment="1">
      <x:alignment wrapText="1"/>
    </x:xf>
    <x:xf numFmtId="0" fontId="19" fillId="8" borderId="6" xfId="0" applyNumberFormat="1" applyFont="1" applyFill="1" applyBorder="1" applyAlignment="1">
      <x:alignment wrapText="1"/>
    </x:xf>
    <x:xf numFmtId="0" fontId="19" fillId="8" borderId="13" xfId="0" applyNumberFormat="1" applyFont="1" applyFill="1" applyBorder="1" applyAlignment="1">
      <x:alignment wrapText="1"/>
    </x:xf>
    <x:xf numFmtId="0" fontId="19" fillId="8" borderId="0" xfId="0" applyNumberFormat="1" applyFont="1" applyFill="1" applyBorder="1" applyAlignment="1">
      <x:alignment wrapText="1"/>
    </x:xf>
    <x:xf numFmtId="0" fontId="19" fillId="8" borderId="14" xfId="0" applyNumberFormat="1" applyFont="1" applyFill="1" applyBorder="1" applyAlignment="1">
      <x:alignment wrapText="1"/>
    </x:xf>
    <x:xf numFmtId="0" fontId="19" fillId="8" borderId="7" xfId="0" applyNumberFormat="1" applyFont="1" applyFill="1" applyBorder="1" applyAlignment="1">
      <x:alignment wrapText="1"/>
    </x:xf>
    <x:xf numFmtId="0" fontId="19" fillId="8" borderId="8" xfId="0" applyNumberFormat="1" applyFont="1" applyFill="1" applyBorder="1" applyAlignment="1">
      <x:alignment wrapText="1"/>
    </x:xf>
    <x:xf numFmtId="0" fontId="19" fillId="8" borderId="9" xfId="0" applyNumberFormat="1" applyFont="1" applyFill="1" applyBorder="1" applyAlignment="1">
      <x:alignment wrapText="1"/>
    </x:xf>
    <x:xf numFmtId="0" fontId="19" fillId="8" borderId="4" xfId="0" applyNumberFormat="1" applyFont="1" applyFill="1" applyBorder="1" applyAlignment="1">
      <x:alignment vertical="top" wrapText="1"/>
    </x:xf>
    <x:xf numFmtId="0" fontId="19" fillId="8" borderId="5" xfId="0" applyNumberFormat="1" applyFont="1" applyFill="1" applyBorder="1" applyAlignment="1">
      <x:alignment vertical="top" wrapText="1"/>
    </x:xf>
    <x:xf numFmtId="0" fontId="19" fillId="8" borderId="6" xfId="0" applyNumberFormat="1" applyFont="1" applyFill="1" applyBorder="1" applyAlignment="1">
      <x:alignment vertical="top" wrapText="1"/>
    </x:xf>
    <x:xf numFmtId="0" fontId="19" fillId="8" borderId="13" xfId="0" applyNumberFormat="1" applyFont="1" applyFill="1" applyBorder="1" applyAlignment="1">
      <x:alignment vertical="top" wrapText="1"/>
    </x:xf>
    <x:xf numFmtId="0" fontId="19" fillId="8" borderId="0" xfId="0" applyNumberFormat="1" applyFont="1" applyFill="1" applyBorder="1" applyAlignment="1">
      <x:alignment vertical="top" wrapText="1"/>
    </x:xf>
    <x:xf numFmtId="0" fontId="19" fillId="8" borderId="14" xfId="0" applyNumberFormat="1" applyFont="1" applyFill="1" applyBorder="1" applyAlignment="1">
      <x:alignment vertical="top" wrapText="1"/>
    </x:xf>
    <x:xf numFmtId="0" fontId="19" fillId="8" borderId="7" xfId="0" applyNumberFormat="1" applyFont="1" applyFill="1" applyBorder="1" applyAlignment="1">
      <x:alignment vertical="top" wrapText="1"/>
    </x:xf>
    <x:xf numFmtId="0" fontId="19" fillId="8" borderId="8" xfId="0" applyNumberFormat="1" applyFont="1" applyFill="1" applyBorder="1" applyAlignment="1">
      <x:alignment vertical="top" wrapText="1"/>
    </x:xf>
    <x:xf numFmtId="0" fontId="19" fillId="8" borderId="9" xfId="0" applyNumberFormat="1" applyFont="1" applyFill="1" applyBorder="1" applyAlignment="1">
      <x:alignment vertical="top" wrapText="1"/>
    </x:xf>
    <x:xf numFmtId="0" fontId="20" fillId="3" borderId="0" xfId="0" applyNumberFormat="1" applyFont="1" applyFill="1" applyBorder="1"/>
    <x:xf numFmtId="0" fontId="20" fillId="3" borderId="0" xfId="0" applyNumberFormat="1" applyFont="1" applyFill="1" applyBorder="1" applyAlignment="1">
      <x:alignment wrapText="1"/>
    </x:xf>
    <x:xf numFmtId="0" fontId="20" fillId="3" borderId="0" xfId="0" applyNumberFormat="1" applyFont="1" applyFill="1" applyBorder="1" applyAlignment="1">
      <x:alignment vertical="center" wrapText="1"/>
    </x:xf>
    <x:xf numFmtId="0" fontId="21" fillId="3" borderId="0" xfId="0" applyNumberFormat="1" applyFont="1" applyFill="1" applyBorder="1"/>
    <x:xf numFmtId="0" fontId="22" fillId="0" borderId="0" xfId="0" applyNumberFormat="1" applyFont="1" applyFill="1" applyBorder="1"/>
    <x:xf numFmtId="0" fontId="22" fillId="0" borderId="0" xfId="0" applyNumberFormat="1" applyFont="1" applyFill="1" applyBorder="1" applyAlignment="1">
      <x:alignment vertical="top"/>
    </x:xf>
    <x:xf numFmtId="0" fontId="22" fillId="0" borderId="0" xfId="0" applyNumberFormat="1" applyFont="1" applyFill="1" applyBorder="1" applyAlignment="1">
      <x:alignment vertical="top" wrapText="0"/>
    </x:xf>
    <x:xf numFmtId="201" fontId="22" fillId="0" borderId="0" xfId="0" applyNumberFormat="1" applyFont="1" applyFill="1" applyBorder="1" applyAlignment="1">
      <x:alignment vertical="top" wrapText="0"/>
    </x:xf>
  </x:cellXfs>
  <x:cellStyles count="1">
    <x:cellStyle name="Normal" xfId="0"/>
  </x:cellStyles>
  <x:dxfs count="4">
    <x:dxf>
      <x:font>
        <x:b/>
        <x:color rgb="FF15803D"/>
      </x:font>
      <x:fill>
        <x:patternFill patternType="solid">
          <x:bgColor rgb="FFECFDF5"/>
        </x:patternFill>
      </x:fill>
    </x:dxf>
    <x:dxf>
      <x:font>
        <x:b/>
        <x:color rgb="FF15803D"/>
      </x:font>
      <x:fill>
        <x:patternFill patternType="solid">
          <x:bgColor rgb="FFECFDF5"/>
        </x:patternFill>
      </x:fill>
    </x:dxf>
    <x:dxf>
      <x:font>
        <x:color rgb="FF92400E"/>
      </x:font>
      <x:fill>
        <x:patternFill patternType="solid">
          <x:bgColor rgb="FFFFFBEB"/>
        </x:patternFill>
      </x:fill>
    </x:dxf>
    <x:dxf>
      <x:font>
        <x:b/>
        <x:color rgb="FFDC2626"/>
      </x:font>
      <x:fill>
        <x:patternFill patternType="solid">
          <x:bgColor rgb="FFFEF2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c2465e9abea4b25" /><Relationship Type="http://schemas.openxmlformats.org/officeDocument/2006/relationships/theme" Target="/xl/theme/theme1.xml" Id="Reda48bdbb54b4c9e" /><Relationship Type="http://schemas.openxmlformats.org/officeDocument/2006/relationships/sharedStrings" Target="/xl/sharedStrings.xml" Id="Raa5da0ddcd0349ed" /><Relationship Type="http://schemas.openxmlformats.org/officeDocument/2006/relationships/worksheet" Target="/xl/worksheets/sheet1.xml" Id="R4251df7f9d2548da" /><Relationship Type="http://schemas.openxmlformats.org/officeDocument/2006/relationships/worksheet" Target="/xl/worksheets/sheet2.xml" Id="R413c9d66f3c84f6b" /><Relationship Type="http://schemas.openxmlformats.org/officeDocument/2006/relationships/worksheet" Target="/xl/worksheets/sheet3.xml" Id="R4d51fb0c2d7c4423" /><Relationship Type="http://schemas.openxmlformats.org/officeDocument/2006/relationships/worksheet" Target="/xl/worksheets/sheet4.xml" Id="R855531583925451c" /><Relationship Type="http://schemas.openxmlformats.org/officeDocument/2006/relationships/worksheet" Target="/xl/worksheets/sheet5.xml" Id="R92bbcb52e9b54842" /></Relationships>
</file>

<file path=xl/drawings/_rels/drawing1.xml.rels>&#65279;<?xml version="1.0" encoding="utf-8"?><Relationships xmlns="http://schemas.openxmlformats.org/package/2006/relationships"><Relationship Type="http://schemas.openxmlformats.org/officeDocument/2006/relationships/chart" Target="/xl/drawings/charts/chart1.xml" Id="R728d36bfe6d7455d" /><Relationship Type="http://schemas.openxmlformats.org/officeDocument/2006/relationships/chart" Target="/xl/drawings/charts/chart2.xml" Id="R6c39819f93aa4564" /><Relationship Type="http://schemas.openxmlformats.org/officeDocument/2006/relationships/chart" Target="/xl/drawings/charts/chart3.xml" Id="R3546bd22e3ac49a2" /><Relationship Type="http://schemas.openxmlformats.org/officeDocument/2006/relationships/chart" Target="/xl/drawings/charts/chart4.xml" Id="R71e74b10e71143f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Offers by job family</a:t>
            </a:r>
          </a:p>
        </c:rich>
      </c:tx>
      <c:overlay val="0"/>
      <c:txPr>
        <a:bodyPr xmlns:a="http://schemas.openxmlformats.org/drawingml/2006/main" anchorCtr="1"/>
        <a:lstStyle xmlns:a="http://schemas.openxmlformats.org/drawingml/2006/main"/>
        <a:p xmlns:a="http://schemas.openxmlformats.org/drawingml/2006/main">
          <a:pPr>
            <a:defRPr sz="975"/>
          </a:pPr>
        </a:p>
      </c:txPr>
    </c:title>
    <c:plotArea>
      <c:barChart>
        <c:barDir val="col"/>
        <c:varyColors val="0"/>
        <c:ser>
          <c:idx val="0"/>
          <c:order val="0"/>
          <c:tx>
            <c:v>Offers</c:v>
          </c:tx>
          <c:spPr>
            <a:solidFill xmlns:a="http://schemas.openxmlformats.org/drawingml/2006/main">
              <a:srgbClr val="2563EB"/>
            </a:solidFill>
          </c:spPr>
          <c:cat>
            <c:strRef>
              <c:f>'Analysis'!$A$2:$A$7</c:f>
              <c:strCache>
                <c:ptCount val="0"/>
              </c:strCache>
            </c:strRef>
          </c:cat>
          <c:val>
            <c:numRef>
              <c:f>'Analysis'!$B$2:$B$7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Most-mentioned tools</a:t>
            </a:r>
          </a:p>
        </c:rich>
      </c:tx>
      <c:overlay val="0"/>
      <c:txPr>
        <a:bodyPr xmlns:a="http://schemas.openxmlformats.org/drawingml/2006/main" anchorCtr="1"/>
        <a:lstStyle xmlns:a="http://schemas.openxmlformats.org/drawingml/2006/main"/>
        <a:p xmlns:a="http://schemas.openxmlformats.org/drawingml/2006/main">
          <a:pPr>
            <a:defRPr sz="975"/>
          </a:pPr>
        </a:p>
      </c:txPr>
    </c:title>
    <c:plotArea>
      <c:barChart>
        <c:barDir val="col"/>
        <c:varyColors val="0"/>
        <c:ser>
          <c:idx val="0"/>
          <c:order val="0"/>
          <c:tx>
            <c:v>Mentions</c:v>
          </c:tx>
          <c:spPr>
            <a:solidFill xmlns:a="http://schemas.openxmlformats.org/drawingml/2006/main">
              <a:srgbClr val="0F9D9A"/>
            </a:solidFill>
          </c:spPr>
          <c:cat>
            <c:strRef>
              <c:f>'Analysis'!$A$12:$A$17</c:f>
              <c:strCache>
                <c:ptCount val="0"/>
              </c:strCache>
            </c:strRef>
          </c:cat>
          <c:val>
            <c:numRef>
              <c:f>'Analysis'!$B$12:$B$17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Work mode in the collected sample</a:t>
            </a:r>
          </a:p>
        </c:rich>
      </c:tx>
      <c:overlay val="0"/>
      <c:txPr>
        <a:bodyPr xmlns:a="http://schemas.openxmlformats.org/drawingml/2006/main" anchorCtr="1"/>
        <a:lstStyle xmlns:a="http://schemas.openxmlformats.org/drawingml/2006/main"/>
        <a:p xmlns:a="http://schemas.openxmlformats.org/drawingml/2006/main">
          <a:pPr>
            <a:defRPr sz="975"/>
          </a:pPr>
        </a:p>
      </c:txPr>
    </c:title>
    <c:plotArea>
      <c:barChart>
        <c:barDir val="col"/>
        <c:varyColors val="0"/>
        <c:ser>
          <c:idx val="0"/>
          <c:order val="0"/>
          <c:tx>
            <c:v>Offers</c:v>
          </c:tx>
          <c:spPr>
            <a:solidFill xmlns:a="http://schemas.openxmlformats.org/drawingml/2006/main">
              <a:srgbClr val="1D4ED8"/>
            </a:solidFill>
          </c:spPr>
          <c:cat>
            <c:strRef>
              <c:f>'Analysis'!$D$2:$D$6</c:f>
              <c:strCache>
                <c:ptCount val="0"/>
              </c:strCache>
            </c:strRef>
          </c:cat>
          <c:val>
            <c:numRef>
              <c:f>'Analysis'!$E$2:$E$6</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Record quality</a:t>
            </a:r>
          </a:p>
        </c:rich>
      </c:tx>
      <c:overlay val="0"/>
      <c:txPr>
        <a:bodyPr xmlns:a="http://schemas.openxmlformats.org/drawingml/2006/main" anchorCtr="1"/>
        <a:lstStyle xmlns:a="http://schemas.openxmlformats.org/drawingml/2006/main"/>
        <a:p xmlns:a="http://schemas.openxmlformats.org/drawingml/2006/main">
          <a:pPr>
            <a:defRPr sz="975"/>
          </a:pPr>
        </a:p>
      </c:txPr>
    </c:title>
    <c:plotArea>
      <c:barChart>
        <c:barDir val="col"/>
        <c:varyColors val="0"/>
        <c:ser>
          <c:idx val="0"/>
          <c:order val="0"/>
          <c:tx>
            <c:v>Offers</c:v>
          </c:tx>
          <c:spPr>
            <a:solidFill xmlns:a="http://schemas.openxmlformats.org/drawingml/2006/main">
              <a:srgbClr val="F59E0B"/>
            </a:solidFill>
          </c:spPr>
          <c:cat>
            <c:strRef>
              <c:f>'Analysis'!$G$9:$G$11</c:f>
              <c:strCache>
                <c:ptCount val="0"/>
              </c:strCache>
            </c:strRef>
          </c:cat>
          <c:val>
            <c:numRef>
              <c:f>'Analysis'!$H$9:$H$11</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7</xdr:row>
      <xdr:rowOff>0</xdr:rowOff>
    </xdr:from>
    <xdr:to>
      <xdr:col>8</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28d36bfe6d7455d"/>
        </a:graphicData>
      </a:graphic>
    </xdr:graphicFrame>
    <xdr:clientData/>
  </xdr:twoCellAnchor>
  <xdr:twoCellAnchor>
    <xdr:from>
      <xdr:col>8</xdr:col>
      <xdr:colOff>0</xdr:colOff>
      <xdr:row>7</xdr:row>
      <xdr:rowOff>0</xdr:rowOff>
    </xdr:from>
    <xdr:to>
      <xdr:col>15</xdr:col>
      <xdr:colOff>0</xdr:colOff>
      <xdr:row>22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c39819f93aa4564"/>
        </a:graphicData>
      </a:graphic>
    </xdr:graphicFrame>
    <xdr:clientData/>
  </xdr:twoCellAnchor>
  <xdr:twoCellAnchor>
    <xdr:from>
      <xdr:col>0</xdr:col>
      <xdr:colOff>0</xdr:colOff>
      <xdr:row>23</xdr:row>
      <xdr:rowOff>0</xdr:rowOff>
    </xdr:from>
    <xdr:to>
      <xdr:col>8</xdr:col>
      <xdr:colOff>0</xdr:colOff>
      <xdr:row>37</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546bd22e3ac49a2"/>
        </a:graphicData>
      </a:graphic>
    </xdr:graphicFrame>
    <xdr:clientData/>
  </xdr:twoCellAnchor>
  <xdr:twoCellAnchor>
    <xdr:from>
      <xdr:col>8</xdr:col>
      <xdr:colOff>0</xdr:colOff>
      <xdr:row>23</xdr:row>
      <xdr:rowOff>0</xdr:rowOff>
    </xdr:from>
    <xdr:to>
      <xdr:col>15</xdr:col>
      <xdr:colOff>0</xdr:colOff>
      <xdr:row>37</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1e74b10e71143f6"/>
        </a:graphicData>
      </a:graphic>
    </xdr:graphicFrame>
    <xdr:clientData/>
  </xdr:twoCellAnchor>
</xdr:wsDr>
</file>

<file path=xl/tables/table1.xml><?xml version="1.0" encoding="utf-8"?>
<x:table xmlns:x="http://schemas.openxmlformats.org/spreadsheetml/2006/main" id="1" name="JobOffersClean" displayName="JobOffersClean" ref="A1:Y101" headerRowCount="1" totalsRowCount="0" totalsRowShown="0">
  <x:tableColumns count="25">
    <x:tableColumn id="1" name="offer_id"/>
    <x:tableColumn id="2" name="portal"/>
    <x:tableColumn id="3" name="job_title"/>
    <x:tableColumn id="4" name="company"/>
    <x:tableColumn id="5" name="location"/>
    <x:tableColumn id="6" name="seniority_raw"/>
    <x:tableColumn id="7" name="seniority_group"/>
    <x:tableColumn id="8" name="work_mode_raw"/>
    <x:tableColumn id="9" name="work_mode_group"/>
    <x:tableColumn id="10" name="employment_raw"/>
    <x:tableColumn id="11" name="employment_group"/>
    <x:tableColumn id="12" name="category_raw"/>
    <x:tableColumn id="13" name="category_group"/>
    <x:tableColumn id="14" name="tools_raw"/>
    <x:tableColumn id="15" name="salary_raw"/>
    <x:tableColumn id="16" name="salary_disclosed"/>
    <x:tableColumn id="17" name="record_quality"/>
    <x:tableColumn id="18" name="source_url"/>
    <x:tableColumn id="19" name="access_date"/>
    <x:tableColumn id="20" name="tasks_competencies"/>
    <x:tableColumn id="21" name="requirements"/>
    <x:tableColumn id="22" name="fit_notes"/>
    <x:tableColumn id="23" name="status_raw"/>
    <x:tableColumn id="24" name="duplicate_source_url"/>
    <x:tableColumn id="25" name="duplicate_title_company"/>
  </x:tableColumns>
  <x:tableStyleInfo name="TableStyleMedium2" showFirstColumn="0" showLastColumn="0" showRowStripes="1" showColumnStripes="0"/>
</x:table>
</file>

<file path=xl/tables/table2.xml><?xml version="1.0" encoding="utf-8"?>
<x:table xmlns:x="http://schemas.openxmlformats.org/spreadsheetml/2006/main" id="2" name="OfferTools" displayName="OfferTools" ref="A1:B78" headerRowCount="1" totalsRowCount="0" totalsRowShown="0">
  <x:tableColumns count="2">
    <x:tableColumn id="1" name="offer_id"/>
    <x:tableColumn id="2" name="tool"/>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b5c07ec33c645f6" /></Relationships>
</file>

<file path=xl/worksheets/_rels/sheet4.xml.rels>&#65279;<?xml version="1.0" encoding="utf-8"?><Relationships xmlns="http://schemas.openxmlformats.org/package/2006/relationships"><Relationship Type="http://schemas.openxmlformats.org/officeDocument/2006/relationships/table" Target="/xl/tables/table1.xml" Id="R12fbbab8f6334c1b" /></Relationships>
</file>

<file path=xl/worksheets/_rels/sheet5.xml.rels>&#65279;<?xml version="1.0" encoding="utf-8"?><Relationships xmlns="http://schemas.openxmlformats.org/package/2006/relationships"><Relationship Type="http://schemas.openxmlformats.org/officeDocument/2006/relationships/table" Target="/xl/tables/table2.xml" Id="R0e1d91f362334afb"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s>
  <x:sheetData>
    <x:row r="1">
      <x:c r="A1" s="6" t="str">
        <x:v>POLISH JOB MARKET ANALYSIS 2026</x:v>
      </x:c>
      <x:c r="B1" s="6"/>
      <x:c r="C1" s="6"/>
      <x:c r="D1" s="6"/>
      <x:c r="E1" s="6"/>
      <x:c r="F1" s="6"/>
      <x:c r="G1" s="6"/>
      <x:c r="H1" s="6"/>
      <x:c r="I1" s="6"/>
      <x:c r="J1" s="6"/>
      <x:c r="K1" s="6"/>
      <x:c r="L1" s="6"/>
      <x:c r="M1" s="6"/>
      <x:c r="N1" s="6"/>
      <x:c r="O1" s="6"/>
    </x:row>
    <x:row r="2">
      <x:c r="A2" s="6"/>
      <x:c r="B2" s="6"/>
      <x:c r="C2" s="6"/>
      <x:c r="D2" s="6"/>
      <x:c r="E2" s="6"/>
      <x:c r="F2" s="6"/>
      <x:c r="G2" s="6"/>
      <x:c r="H2" s="6"/>
      <x:c r="I2" s="6"/>
      <x:c r="J2" s="6"/>
      <x:c r="K2" s="6"/>
      <x:c r="L2" s="6"/>
      <x:c r="M2" s="6"/>
      <x:c r="N2" s="6"/>
      <x:c r="O2" s="6"/>
    </x:row>
    <x:row r="3">
      <x:c r="A3" s="9" t="str">
        <x:v>100 information-management and data-related job offers | Excel + SQL portfolio project</x:v>
      </x:c>
      <x:c r="B3" s="9"/>
      <x:c r="C3" s="9"/>
      <x:c r="D3" s="9"/>
      <x:c r="E3" s="9"/>
      <x:c r="F3" s="9"/>
      <x:c r="G3" s="9"/>
      <x:c r="H3" s="9"/>
      <x:c r="I3" s="9"/>
      <x:c r="J3" s="9"/>
      <x:c r="K3" s="9"/>
      <x:c r="L3" s="9"/>
      <x:c r="M3" s="9"/>
      <x:c r="N3" s="9"/>
      <x:c r="O3" s="9"/>
    </x:row>
    <x:row r="4">
      <x:c r="A4" s="17" t="str">
        <x:v>RECORDS COLLECTED</x:v>
      </x:c>
      <x:c r="B4" s="18"/>
      <x:c r="C4" s="19"/>
      <x:c r="D4" s="47" t="str">
        <x:v>JUNIOR-INCLUSIVE ROLES</x:v>
      </x:c>
      <x:c r="E4" s="48"/>
      <x:c r="F4" s="49"/>
      <x:c r="G4" s="77" t="str">
        <x:v>SALARY DISCLOSED</x:v>
      </x:c>
      <x:c r="H4" s="78"/>
      <x:c r="I4" s="79"/>
      <x:c r="J4" s="107" t="str">
        <x:v>VERIFIED RECORDS</x:v>
      </x:c>
      <x:c r="K4" s="108"/>
      <x:c r="L4" s="109"/>
      <x:c r="M4" s="137" t="str">
        <x:v>ACCESS DATE</x:v>
      </x:c>
      <x:c r="N4" s="138"/>
      <x:c r="O4" s="139"/>
    </x:row>
    <x:row r="5">
      <x:c r="A5" s="33" t="n">
        <x:f>COUNTA('Cleaned Data'!$A$2:$A$101)</x:f>
        <x:v>100</x:v>
      </x:c>
      <x:c r="B5" s="34"/>
      <x:c r="C5" s="35"/>
      <x:c r="D5" s="63" t="n">
        <x:f>COUNTIF('Cleaned Data'!$G$2:$G$101,"Junior / entry")+COUNTIF('Cleaned Data'!$G$2:$G$101,"Junior–Mid")</x:f>
        <x:v>92</x:v>
      </x:c>
      <x:c r="E5" s="64"/>
      <x:c r="F5" s="65"/>
      <x:c r="G5" s="93" t="n">
        <x:f>COUNTIF('Cleaned Data'!$P$2:$P$101,"Yes")</x:f>
        <x:v>17</x:v>
      </x:c>
      <x:c r="H5" s="94"/>
      <x:c r="I5" s="95"/>
      <x:c r="J5" s="123" t="n">
        <x:f>COUNTIF('Cleaned Data'!$Q$2:$Q$101,"Verified")</x:f>
        <x:v>25</x:v>
      </x:c>
      <x:c r="K5" s="124"/>
      <x:c r="L5" s="125"/>
      <x:c r="M5" s="153" t="str">
        <x:v>2026-07-09</x:v>
      </x:c>
      <x:c r="N5" s="154"/>
      <x:c r="O5" s="155"/>
    </x:row>
    <x:row r="6">
      <x:c r="A6" s="36"/>
      <x:c r="B6" s="37"/>
      <x:c r="C6" s="38"/>
      <x:c r="D6" s="66"/>
      <x:c r="E6" s="67"/>
      <x:c r="F6" s="68"/>
      <x:c r="G6" s="96"/>
      <x:c r="H6" s="97"/>
      <x:c r="I6" s="98"/>
      <x:c r="J6" s="126"/>
      <x:c r="K6" s="127"/>
      <x:c r="L6" s="128"/>
      <x:c r="M6" s="156"/>
      <x:c r="N6" s="157"/>
      <x:c r="O6" s="158"/>
    </x:row>
    <x:row r="7">
      <x:c r="A7" s="2"/>
      <x:c r="B7" s="2"/>
      <x:c r="C7" s="2"/>
      <x:c r="D7" s="2"/>
      <x:c r="E7" s="2"/>
      <x:c r="F7" s="2"/>
      <x:c r="G7" s="2"/>
      <x:c r="H7" s="2"/>
      <x:c r="I7" s="2"/>
      <x:c r="J7" s="2"/>
      <x:c r="K7" s="2"/>
      <x:c r="L7" s="2"/>
      <x:c r="M7" s="2"/>
      <x:c r="N7" s="2"/>
      <x:c r="O7" s="2"/>
    </x:row>
    <x:row r="8">
      <x:c r="A8" s="2"/>
      <x:c r="B8" s="2"/>
      <x:c r="C8" s="2"/>
      <x:c r="D8" s="2"/>
      <x:c r="E8" s="2"/>
      <x:c r="F8" s="2"/>
      <x:c r="G8" s="2"/>
      <x:c r="H8" s="2"/>
      <x:c r="I8" s="2"/>
      <x:c r="J8" s="2"/>
      <x:c r="K8" s="2"/>
      <x:c r="L8" s="2"/>
      <x:c r="M8" s="2"/>
      <x:c r="N8" s="2"/>
      <x:c r="O8" s="2"/>
    </x:row>
    <x:row r="9">
      <x:c r="A9" s="2"/>
      <x:c r="B9" s="2"/>
      <x:c r="C9" s="2"/>
      <x:c r="D9" s="2"/>
      <x:c r="E9" s="2"/>
      <x:c r="F9" s="2"/>
      <x:c r="G9" s="2"/>
      <x:c r="H9" s="2"/>
      <x:c r="I9" s="2"/>
      <x:c r="J9" s="2"/>
      <x:c r="K9" s="2"/>
      <x:c r="L9" s="2"/>
      <x:c r="M9" s="2"/>
      <x:c r="N9" s="2"/>
      <x:c r="O9" s="2"/>
    </x:row>
    <x:row r="10">
      <x:c r="A10" s="2"/>
      <x:c r="B10" s="2"/>
      <x:c r="C10" s="2"/>
      <x:c r="D10" s="2"/>
      <x:c r="E10" s="2"/>
      <x:c r="F10" s="2"/>
      <x:c r="G10" s="2"/>
      <x:c r="H10" s="2"/>
      <x:c r="I10" s="2"/>
      <x:c r="J10" s="2"/>
      <x:c r="K10" s="2"/>
      <x:c r="L10" s="2"/>
      <x:c r="M10" s="2"/>
      <x:c r="N10" s="2"/>
      <x:c r="O10" s="2"/>
    </x:row>
    <x:row r="11">
      <x:c r="A11" s="2"/>
      <x:c r="B11" s="2"/>
      <x:c r="C11" s="2"/>
      <x:c r="D11" s="2"/>
      <x:c r="E11" s="2"/>
      <x:c r="F11" s="2"/>
      <x:c r="G11" s="2"/>
      <x:c r="H11" s="2"/>
      <x:c r="I11" s="2"/>
      <x:c r="J11" s="2"/>
      <x:c r="K11" s="2"/>
      <x:c r="L11" s="2"/>
      <x:c r="M11" s="2"/>
      <x:c r="N11" s="2"/>
      <x:c r="O11" s="2"/>
    </x:row>
    <x:row r="12">
      <x:c r="A12" s="2"/>
      <x:c r="B12" s="2"/>
      <x:c r="C12" s="2"/>
      <x:c r="D12" s="2"/>
      <x:c r="E12" s="2"/>
      <x:c r="F12" s="2"/>
      <x:c r="G12" s="2"/>
      <x:c r="H12" s="2"/>
      <x:c r="I12" s="2"/>
      <x:c r="J12" s="2"/>
      <x:c r="K12" s="2"/>
      <x:c r="L12" s="2"/>
      <x:c r="M12" s="2"/>
      <x:c r="N12" s="2"/>
      <x:c r="O12" s="2"/>
    </x:row>
    <x:row r="13">
      <x:c r="A13" s="2"/>
      <x:c r="B13" s="2"/>
      <x:c r="C13" s="2"/>
      <x:c r="D13" s="2"/>
      <x:c r="E13" s="2"/>
      <x:c r="F13" s="2"/>
      <x:c r="G13" s="2"/>
      <x:c r="H13" s="2"/>
      <x:c r="I13" s="2"/>
      <x:c r="J13" s="2"/>
      <x:c r="K13" s="2"/>
      <x:c r="L13" s="2"/>
      <x:c r="M13" s="2"/>
      <x:c r="N13" s="2"/>
      <x:c r="O13" s="2"/>
    </x:row>
    <x:row r="14">
      <x:c r="A14" s="2"/>
      <x:c r="B14" s="2"/>
      <x:c r="C14" s="2"/>
      <x:c r="D14" s="2"/>
      <x:c r="E14" s="2"/>
      <x:c r="F14" s="2"/>
      <x:c r="G14" s="2"/>
      <x:c r="H14" s="2"/>
      <x:c r="I14" s="2"/>
      <x:c r="J14" s="2"/>
      <x:c r="K14" s="2"/>
      <x:c r="L14" s="2"/>
      <x:c r="M14" s="2"/>
      <x:c r="N14" s="2"/>
      <x:c r="O14" s="2"/>
    </x:row>
    <x:row r="15">
      <x:c r="A15" s="2"/>
      <x:c r="B15" s="2"/>
      <x:c r="C15" s="2"/>
      <x:c r="D15" s="2"/>
      <x:c r="E15" s="2"/>
      <x:c r="F15" s="2"/>
      <x:c r="G15" s="2"/>
      <x:c r="H15" s="2"/>
      <x:c r="I15" s="2"/>
      <x:c r="J15" s="2"/>
      <x:c r="K15" s="2"/>
      <x:c r="L15" s="2"/>
      <x:c r="M15" s="2"/>
      <x:c r="N15" s="2"/>
      <x:c r="O15" s="2"/>
    </x:row>
    <x:row r="16">
      <x:c r="A16" s="2"/>
      <x:c r="B16" s="2"/>
      <x:c r="C16" s="2"/>
      <x:c r="D16" s="2"/>
      <x:c r="E16" s="2"/>
      <x:c r="F16" s="2"/>
      <x:c r="G16" s="2"/>
      <x:c r="H16" s="2"/>
      <x:c r="I16" s="2"/>
      <x:c r="J16" s="2"/>
      <x:c r="K16" s="2"/>
      <x:c r="L16" s="2"/>
      <x:c r="M16" s="2"/>
      <x:c r="N16" s="2"/>
      <x:c r="O16" s="2"/>
    </x:row>
    <x:row r="17">
      <x:c r="A17" s="2"/>
      <x:c r="B17" s="2"/>
      <x:c r="C17" s="2"/>
      <x:c r="D17" s="2"/>
      <x:c r="E17" s="2"/>
      <x:c r="F17" s="2"/>
      <x:c r="G17" s="2"/>
      <x:c r="H17" s="2"/>
      <x:c r="I17" s="2"/>
      <x:c r="J17" s="2"/>
      <x:c r="K17" s="2"/>
      <x:c r="L17" s="2"/>
      <x:c r="M17" s="2"/>
      <x:c r="N17" s="2"/>
      <x:c r="O17" s="2"/>
    </x:row>
    <x:row r="18">
      <x:c r="A18" s="2"/>
      <x:c r="B18" s="2"/>
      <x:c r="C18" s="2"/>
      <x:c r="D18" s="2"/>
      <x:c r="E18" s="2"/>
      <x:c r="F18" s="2"/>
      <x:c r="G18" s="2"/>
      <x:c r="H18" s="2"/>
      <x:c r="I18" s="2"/>
      <x:c r="J18" s="2"/>
      <x:c r="K18" s="2"/>
      <x:c r="L18" s="2"/>
      <x:c r="M18" s="2"/>
      <x:c r="N18" s="2"/>
      <x:c r="O18" s="2"/>
    </x:row>
    <x:row r="19">
      <x:c r="A19" s="2"/>
      <x:c r="B19" s="2"/>
      <x:c r="C19" s="2"/>
      <x:c r="D19" s="2"/>
      <x:c r="E19" s="2"/>
      <x:c r="F19" s="2"/>
      <x:c r="G19" s="2"/>
      <x:c r="H19" s="2"/>
      <x:c r="I19" s="2"/>
      <x:c r="J19" s="2"/>
      <x:c r="K19" s="2"/>
      <x:c r="L19" s="2"/>
      <x:c r="M19" s="2"/>
      <x:c r="N19" s="2"/>
      <x:c r="O19" s="2"/>
    </x:row>
    <x:row r="20">
      <x:c r="A20" s="2"/>
      <x:c r="B20" s="2"/>
      <x:c r="C20" s="2"/>
      <x:c r="D20" s="2"/>
      <x:c r="E20" s="2"/>
      <x:c r="F20" s="2"/>
      <x:c r="G20" s="2"/>
      <x:c r="H20" s="2"/>
      <x:c r="I20" s="2"/>
      <x:c r="J20" s="2"/>
      <x:c r="K20" s="2"/>
      <x:c r="L20" s="2"/>
      <x:c r="M20" s="2"/>
      <x:c r="N20" s="2"/>
      <x:c r="O20" s="2"/>
    </x:row>
    <x:row r="21">
      <x:c r="A21" s="2"/>
      <x:c r="B21" s="2"/>
      <x:c r="C21" s="2"/>
      <x:c r="D21" s="2"/>
      <x:c r="E21" s="2"/>
      <x:c r="F21" s="2"/>
      <x:c r="G21" s="2"/>
      <x:c r="H21" s="2"/>
      <x:c r="I21" s="2"/>
      <x:c r="J21" s="2"/>
      <x:c r="K21" s="2"/>
      <x:c r="L21" s="2"/>
      <x:c r="M21" s="2"/>
      <x:c r="N21" s="2"/>
      <x:c r="O21" s="2"/>
    </x:row>
    <x:row r="22">
      <x:c r="A22" s="2"/>
      <x:c r="B22" s="2"/>
      <x:c r="C22" s="2"/>
      <x:c r="D22" s="2"/>
      <x:c r="E22" s="2"/>
      <x:c r="F22" s="2"/>
      <x:c r="G22" s="2"/>
      <x:c r="H22" s="2"/>
      <x:c r="I22" s="2"/>
      <x:c r="J22" s="2"/>
      <x:c r="K22" s="2"/>
      <x:c r="L22" s="2"/>
      <x:c r="M22" s="2"/>
      <x:c r="N22" s="2"/>
      <x:c r="O22" s="2"/>
    </x:row>
    <x:row r="23">
      <x:c r="A23" s="2"/>
      <x:c r="B23" s="2"/>
      <x:c r="C23" s="2"/>
      <x:c r="D23" s="2"/>
      <x:c r="E23" s="2"/>
      <x:c r="F23" s="2"/>
      <x:c r="G23" s="2"/>
      <x:c r="H23" s="2"/>
      <x:c r="I23" s="2"/>
      <x:c r="J23" s="2"/>
      <x:c r="K23" s="2"/>
      <x:c r="L23" s="2"/>
      <x:c r="M23" s="2"/>
      <x:c r="N23" s="2"/>
      <x:c r="O23" s="2"/>
    </x:row>
    <x:row r="24">
      <x:c r="A24" s="2"/>
      <x:c r="B24" s="2"/>
      <x:c r="C24" s="2"/>
      <x:c r="D24" s="2"/>
      <x:c r="E24" s="2"/>
      <x:c r="F24" s="2"/>
      <x:c r="G24" s="2"/>
      <x:c r="H24" s="2"/>
      <x:c r="I24" s="2"/>
      <x:c r="J24" s="2"/>
      <x:c r="K24" s="2"/>
      <x:c r="L24" s="2"/>
      <x:c r="M24" s="2"/>
      <x:c r="N24" s="2"/>
      <x:c r="O24" s="2"/>
    </x:row>
    <x:row r="25">
      <x:c r="A25" s="2"/>
      <x:c r="B25" s="2"/>
      <x:c r="C25" s="2"/>
      <x:c r="D25" s="2"/>
      <x:c r="E25" s="2"/>
      <x:c r="F25" s="2"/>
      <x:c r="G25" s="2"/>
      <x:c r="H25" s="2"/>
      <x:c r="I25" s="2"/>
      <x:c r="J25" s="2"/>
      <x:c r="K25" s="2"/>
      <x:c r="L25" s="2"/>
      <x:c r="M25" s="2"/>
      <x:c r="N25" s="2"/>
      <x:c r="O25" s="2"/>
    </x:row>
    <x:row r="26">
      <x:c r="A26" s="2"/>
      <x:c r="B26" s="2"/>
      <x:c r="C26" s="2"/>
      <x:c r="D26" s="2"/>
      <x:c r="E26" s="2"/>
      <x:c r="F26" s="2"/>
      <x:c r="G26" s="2"/>
      <x:c r="H26" s="2"/>
      <x:c r="I26" s="2"/>
      <x:c r="J26" s="2"/>
      <x:c r="K26" s="2"/>
      <x:c r="L26" s="2"/>
      <x:c r="M26" s="2"/>
      <x:c r="N26" s="2"/>
      <x:c r="O26" s="2"/>
    </x:row>
    <x:row r="27">
      <x:c r="A27" s="2"/>
      <x:c r="B27" s="2"/>
      <x:c r="C27" s="2"/>
      <x:c r="D27" s="2"/>
      <x:c r="E27" s="2"/>
      <x:c r="F27" s="2"/>
      <x:c r="G27" s="2"/>
      <x:c r="H27" s="2"/>
      <x:c r="I27" s="2"/>
      <x:c r="J27" s="2"/>
      <x:c r="K27" s="2"/>
      <x:c r="L27" s="2"/>
      <x:c r="M27" s="2"/>
      <x:c r="N27" s="2"/>
      <x:c r="O27" s="2"/>
    </x:row>
    <x:row r="28">
      <x:c r="A28" s="2"/>
      <x:c r="B28" s="2"/>
      <x:c r="C28" s="2"/>
      <x:c r="D28" s="2"/>
      <x:c r="E28" s="2"/>
      <x:c r="F28" s="2"/>
      <x:c r="G28" s="2"/>
      <x:c r="H28" s="2"/>
      <x:c r="I28" s="2"/>
      <x:c r="J28" s="2"/>
      <x:c r="K28" s="2"/>
      <x:c r="L28" s="2"/>
      <x:c r="M28" s="2"/>
      <x:c r="N28" s="2"/>
      <x:c r="O28" s="2"/>
    </x:row>
    <x:row r="29">
      <x:c r="A29" s="2"/>
      <x:c r="B29" s="2"/>
      <x:c r="C29" s="2"/>
      <x:c r="D29" s="2"/>
      <x:c r="E29" s="2"/>
      <x:c r="F29" s="2"/>
      <x:c r="G29" s="2"/>
      <x:c r="H29" s="2"/>
      <x:c r="I29" s="2"/>
      <x:c r="J29" s="2"/>
      <x:c r="K29" s="2"/>
      <x:c r="L29" s="2"/>
      <x:c r="M29" s="2"/>
      <x:c r="N29" s="2"/>
      <x:c r="O29" s="2"/>
    </x:row>
    <x:row r="30">
      <x:c r="A30" s="2"/>
      <x:c r="B30" s="2"/>
      <x:c r="C30" s="2"/>
      <x:c r="D30" s="2"/>
      <x:c r="E30" s="2"/>
      <x:c r="F30" s="2"/>
      <x:c r="G30" s="2"/>
      <x:c r="H30" s="2"/>
      <x:c r="I30" s="2"/>
      <x:c r="J30" s="2"/>
      <x:c r="K30" s="2"/>
      <x:c r="L30" s="2"/>
      <x:c r="M30" s="2"/>
      <x:c r="N30" s="2"/>
      <x:c r="O30" s="2"/>
    </x:row>
    <x:row r="31">
      <x:c r="A31" s="2"/>
      <x:c r="B31" s="2"/>
      <x:c r="C31" s="2"/>
      <x:c r="D31" s="2"/>
      <x:c r="E31" s="2"/>
      <x:c r="F31" s="2"/>
      <x:c r="G31" s="2"/>
      <x:c r="H31" s="2"/>
      <x:c r="I31" s="2"/>
      <x:c r="J31" s="2"/>
      <x:c r="K31" s="2"/>
      <x:c r="L31" s="2"/>
      <x:c r="M31" s="2"/>
      <x:c r="N31" s="2"/>
      <x:c r="O31" s="2"/>
    </x:row>
    <x:row r="32">
      <x:c r="A32" s="2"/>
      <x:c r="B32" s="2"/>
      <x:c r="C32" s="2"/>
      <x:c r="D32" s="2"/>
      <x:c r="E32" s="2"/>
      <x:c r="F32" s="2"/>
      <x:c r="G32" s="2"/>
      <x:c r="H32" s="2"/>
      <x:c r="I32" s="2"/>
      <x:c r="J32" s="2"/>
      <x:c r="K32" s="2"/>
      <x:c r="L32" s="2"/>
      <x:c r="M32" s="2"/>
      <x:c r="N32" s="2"/>
      <x:c r="O32" s="2"/>
    </x:row>
    <x:row r="33">
      <x:c r="A33" s="2"/>
      <x:c r="B33" s="2"/>
      <x:c r="C33" s="2"/>
      <x:c r="D33" s="2"/>
      <x:c r="E33" s="2"/>
      <x:c r="F33" s="2"/>
      <x:c r="G33" s="2"/>
      <x:c r="H33" s="2"/>
      <x:c r="I33" s="2"/>
      <x:c r="J33" s="2"/>
      <x:c r="K33" s="2"/>
      <x:c r="L33" s="2"/>
      <x:c r="M33" s="2"/>
      <x:c r="N33" s="2"/>
      <x:c r="O33" s="2"/>
    </x:row>
    <x:row r="34">
      <x:c r="A34" s="2"/>
      <x:c r="B34" s="2"/>
      <x:c r="C34" s="2"/>
      <x:c r="D34" s="2"/>
      <x:c r="E34" s="2"/>
      <x:c r="F34" s="2"/>
      <x:c r="G34" s="2"/>
      <x:c r="H34" s="2"/>
      <x:c r="I34" s="2"/>
      <x:c r="J34" s="2"/>
      <x:c r="K34" s="2"/>
      <x:c r="L34" s="2"/>
      <x:c r="M34" s="2"/>
      <x:c r="N34" s="2"/>
      <x:c r="O34" s="2"/>
    </x:row>
    <x:row r="35">
      <x:c r="A35" s="2"/>
      <x:c r="B35" s="2"/>
      <x:c r="C35" s="2"/>
      <x:c r="D35" s="2"/>
      <x:c r="E35" s="2"/>
      <x:c r="F35" s="2"/>
      <x:c r="G35" s="2"/>
      <x:c r="H35" s="2"/>
      <x:c r="I35" s="2"/>
      <x:c r="J35" s="2"/>
      <x:c r="K35" s="2"/>
      <x:c r="L35" s="2"/>
      <x:c r="M35" s="2"/>
      <x:c r="N35" s="2"/>
      <x:c r="O35" s="2"/>
    </x:row>
    <x:row r="36">
      <x:c r="A36" s="2"/>
      <x:c r="B36" s="2"/>
      <x:c r="C36" s="2"/>
      <x:c r="D36" s="2"/>
      <x:c r="E36" s="2"/>
      <x:c r="F36" s="2"/>
      <x:c r="G36" s="2"/>
      <x:c r="H36" s="2"/>
      <x:c r="I36" s="2"/>
      <x:c r="J36" s="2"/>
      <x:c r="K36" s="2"/>
      <x:c r="L36" s="2"/>
      <x:c r="M36" s="2"/>
      <x:c r="N36" s="2"/>
      <x:c r="O36" s="2"/>
    </x:row>
    <x:row r="37">
      <x:c r="A37" s="2"/>
      <x:c r="B37" s="2"/>
      <x:c r="C37" s="2"/>
      <x:c r="D37" s="2"/>
      <x:c r="E37" s="2"/>
      <x:c r="F37" s="2"/>
      <x:c r="G37" s="2"/>
      <x:c r="H37" s="2"/>
      <x:c r="I37" s="2"/>
      <x:c r="J37" s="2"/>
      <x:c r="K37" s="2"/>
      <x:c r="L37" s="2"/>
      <x:c r="M37" s="2"/>
      <x:c r="N37" s="2"/>
      <x:c r="O37" s="2"/>
    </x:row>
    <x:row r="38">
      <x:c r="A38" s="2"/>
      <x:c r="B38" s="2"/>
      <x:c r="C38" s="2"/>
      <x:c r="D38" s="2"/>
      <x:c r="E38" s="2"/>
      <x:c r="F38" s="2"/>
      <x:c r="G38" s="2"/>
      <x:c r="H38" s="2"/>
      <x:c r="I38" s="2"/>
      <x:c r="J38" s="2"/>
      <x:c r="K38" s="2"/>
      <x:c r="L38" s="2"/>
      <x:c r="M38" s="2"/>
      <x:c r="N38" s="2"/>
      <x:c r="O38" s="2"/>
    </x:row>
    <x:row r="39">
      <x:c r="A39" s="168" t="str">
        <x:v>KEY FINDINGS &amp; DATA QUALITY</x:v>
      </x:c>
      <x:c r="B39" s="168"/>
      <x:c r="C39" s="168"/>
      <x:c r="D39" s="168"/>
      <x:c r="E39" s="168"/>
      <x:c r="F39" s="168"/>
      <x:c r="G39" s="168"/>
      <x:c r="H39" s="168"/>
      <x:c r="I39" s="168"/>
      <x:c r="J39" s="168"/>
      <x:c r="K39" s="168"/>
      <x:c r="L39" s="168"/>
      <x:c r="M39" s="168"/>
      <x:c r="N39" s="168"/>
      <x:c r="O39" s="168"/>
    </x:row>
    <x:row r="40">
      <x:c r="A40" s="186" t="str">
        <x:v>• Data analysis and Reporting &amp; BI account for 56 of 100 collected offers.
• 92 roles include junior or junior–mid candidates.
• Hybrid is the most common specified mode (36), but 33 records do not state a clear mode.
• Excel/MS Office lead tool mentions; SQL and Power BI appear 11 times each.</x:v>
      </x:c>
      <x:c r="B40" s="187"/>
      <x:c r="C40" s="187"/>
      <x:c r="D40" s="187"/>
      <x:c r="E40" s="187"/>
      <x:c r="F40" s="187"/>
      <x:c r="G40" s="187"/>
      <x:c r="H40" s="188"/>
      <x:c r="I40" s="213" t="str">
        <x:v>Important limitation
Only 25 records were verified as active/direct at review time; 11 are archived direct records and 64 need verification. Salary is disclosed in 17 offers and uses mixed units/currencies, so no salary-level comparison is made. Results describe this collected academic sample, not the full Polish job market.</x:v>
      </x:c>
      <x:c r="J40" s="214"/>
      <x:c r="K40" s="214"/>
      <x:c r="L40" s="214"/>
      <x:c r="M40" s="214"/>
      <x:c r="N40" s="214"/>
      <x:c r="O40" s="215"/>
    </x:row>
    <x:row r="41">
      <x:c r="A41" s="189"/>
      <x:c r="B41" s="190"/>
      <x:c r="C41" s="190"/>
      <x:c r="D41" s="190"/>
      <x:c r="E41" s="190"/>
      <x:c r="F41" s="190"/>
      <x:c r="G41" s="190"/>
      <x:c r="H41" s="191"/>
      <x:c r="I41" s="216"/>
      <x:c r="J41" s="217"/>
      <x:c r="K41" s="217"/>
      <x:c r="L41" s="217"/>
      <x:c r="M41" s="217"/>
      <x:c r="N41" s="217"/>
      <x:c r="O41" s="218"/>
    </x:row>
    <x:row r="42">
      <x:c r="A42" s="189"/>
      <x:c r="B42" s="190"/>
      <x:c r="C42" s="190"/>
      <x:c r="D42" s="190"/>
      <x:c r="E42" s="190"/>
      <x:c r="F42" s="190"/>
      <x:c r="G42" s="190"/>
      <x:c r="H42" s="191"/>
      <x:c r="I42" s="216"/>
      <x:c r="J42" s="217"/>
      <x:c r="K42" s="217"/>
      <x:c r="L42" s="217"/>
      <x:c r="M42" s="217"/>
      <x:c r="N42" s="217"/>
      <x:c r="O42" s="218"/>
    </x:row>
    <x:row r="43">
      <x:c r="A43" s="192"/>
      <x:c r="B43" s="193"/>
      <x:c r="C43" s="193"/>
      <x:c r="D43" s="193"/>
      <x:c r="E43" s="193"/>
      <x:c r="F43" s="193"/>
      <x:c r="G43" s="193"/>
      <x:c r="H43" s="194"/>
      <x:c r="I43" s="219"/>
      <x:c r="J43" s="220"/>
      <x:c r="K43" s="220"/>
      <x:c r="L43" s="220"/>
      <x:c r="M43" s="220"/>
      <x:c r="N43" s="220"/>
      <x:c r="O43" s="221"/>
    </x:row>
    <x:row r="44">
      <x:c r="A44" s="224" t="str">
        <x:v>Source: author-collected public job postings for academic research | Access date: 2026-07-09 | Author: Kinga Jaszewska</x:v>
      </x:c>
      <x:c r="B44" s="224"/>
      <x:c r="C44" s="224"/>
      <x:c r="D44" s="224"/>
      <x:c r="E44" s="224"/>
      <x:c r="F44" s="224"/>
      <x:c r="G44" s="224"/>
      <x:c r="H44" s="224"/>
      <x:c r="I44" s="224"/>
      <x:c r="J44" s="224"/>
      <x:c r="K44" s="224"/>
      <x:c r="L44" s="224"/>
      <x:c r="M44" s="224"/>
      <x:c r="N44" s="224"/>
      <x:c r="O44" s="224"/>
    </x:row>
    <x:row r="45">
      <x:c r="A45" s="224"/>
      <x:c r="B45" s="224"/>
      <x:c r="C45" s="224"/>
      <x:c r="D45" s="224"/>
      <x:c r="E45" s="224"/>
      <x:c r="F45" s="224"/>
      <x:c r="G45" s="224"/>
      <x:c r="H45" s="224"/>
      <x:c r="I45" s="224"/>
      <x:c r="J45" s="224"/>
      <x:c r="K45" s="224"/>
      <x:c r="L45" s="224"/>
      <x:c r="M45" s="224"/>
      <x:c r="N45" s="224"/>
      <x:c r="O45" s="224"/>
    </x:row>
    <x:row r="46">
      <x:c r="A46" s="2"/>
      <x:c r="B46" s="2"/>
      <x:c r="C46" s="2"/>
      <x:c r="D46" s="2"/>
      <x:c r="E46" s="2"/>
      <x:c r="F46" s="2"/>
      <x:c r="G46" s="2"/>
      <x:c r="H46" s="2"/>
      <x:c r="I46" s="2"/>
      <x:c r="J46" s="2"/>
      <x:c r="K46" s="2"/>
      <x:c r="L46" s="2"/>
      <x:c r="M46" s="2"/>
      <x:c r="N46" s="2"/>
      <x:c r="O46" s="2"/>
    </x:row>
  </x:sheetData>
  <x:mergeCells>
    <x:mergeCell ref="A1:O2"/>
    <x:mergeCell ref="A3:O3"/>
    <x:mergeCell ref="A4:C4"/>
    <x:mergeCell ref="A5:C6"/>
    <x:mergeCell ref="D4:F4"/>
    <x:mergeCell ref="D5:F6"/>
    <x:mergeCell ref="G4:I4"/>
    <x:mergeCell ref="G5:I6"/>
    <x:mergeCell ref="J4:L4"/>
    <x:mergeCell ref="J5:L6"/>
    <x:mergeCell ref="M4:O4"/>
    <x:mergeCell ref="M5:O6"/>
    <x:mergeCell ref="A39:O39"/>
    <x:mergeCell ref="A40:H43"/>
    <x:mergeCell ref="I40:O43"/>
    <x:mergeCell ref="A44:O45"/>
  </x:mergeCells>
  <x:pageMargins left="0.7" right="0.7" top="0.75" bottom="0.75" header="0.3" footer="0.3"/>
  <x:drawing xmlns:r="http://schemas.openxmlformats.org/officeDocument/2006/relationships" r:id="R5b5c07ec33c645f6"/>
</x:worksheet>
</file>

<file path=xl/worksheets/sheet2.xml><?xml version="1.0" encoding="utf-8"?>
<x:worksheet xmlns:x="http://schemas.openxmlformats.org/spreadsheetml/2006/main">
  <x:sheetViews>
    <x:sheetView showGridLines="0" workbookViewId="0"/>
  </x:sheetViews>
  <x:sheetFormatPr defaultRowHeight="15"/>
  <x:cols>
    <x:col min="1" max="1" width="31" hidden="0" customWidth="1"/>
    <x:col min="2" max="2" width="12" hidden="0" customWidth="1"/>
    <x:col min="3" max="3" width="3" hidden="0" customWidth="1"/>
    <x:col min="4" max="4" width="24" hidden="0" customWidth="1"/>
    <x:col min="5" max="5" width="12" hidden="0" customWidth="1"/>
    <x:col min="6" max="6" width="3" hidden="0" customWidth="1"/>
    <x:col min="7" max="7" width="25" hidden="0" customWidth="1"/>
    <x:col min="8" max="8" width="12" hidden="0" customWidth="1"/>
    <x:col min="9" max="9" width="3" hidden="0" customWidth="1"/>
    <x:col min="10" max="10" width="25" hidden="0" customWidth="1"/>
    <x:col min="11" max="11" width="12" hidden="0" customWidth="1"/>
  </x:cols>
  <x:sheetData>
    <x:row r="1">
      <x:c r="A1" s="162" t="str">
        <x:v>Job family</x:v>
      </x:c>
      <x:c r="B1" s="163" t="str">
        <x:v>Offers</x:v>
      </x:c>
      <x:c r="C1" s="1"/>
      <x:c r="D1" s="162" t="str">
        <x:v>Work mode</x:v>
      </x:c>
      <x:c r="E1" s="163" t="str">
        <x:v>Offers</x:v>
      </x:c>
      <x:c r="F1" s="1"/>
      <x:c r="G1" s="162" t="str">
        <x:v>Seniority</x:v>
      </x:c>
      <x:c r="H1" s="163" t="str">
        <x:v>Offers</x:v>
      </x:c>
      <x:c r="I1" s="1"/>
      <x:c r="J1" s="162" t="str">
        <x:v>Employment group</x:v>
      </x:c>
      <x:c r="K1" s="163" t="str">
        <x:v>Offers</x:v>
      </x:c>
    </x:row>
    <x:row r="2">
      <x:c r="A2" s="164" t="str">
        <x:v>Data analysis</x:v>
      </x:c>
      <x:c r="B2" s="165" t="n">
        <x:f>COUNTIF('Cleaned Data'!$M$2:$M$101,A2)</x:f>
        <x:v>31</x:v>
      </x:c>
      <x:c r="C2" s="1"/>
      <x:c r="D2" s="164" t="str">
        <x:v>Hybrid</x:v>
      </x:c>
      <x:c r="E2" s="165" t="n">
        <x:f>COUNTIF('Cleaned Data'!$I$2:$I$101,D2)</x:f>
        <x:v>36</x:v>
      </x:c>
      <x:c r="F2" s="1"/>
      <x:c r="G2" s="164" t="str">
        <x:v>Junior / entry</x:v>
      </x:c>
      <x:c r="H2" s="165" t="n">
        <x:f>COUNTIF('Cleaned Data'!$G$2:$G$101,G2)</x:f>
        <x:v>73</x:v>
      </x:c>
      <x:c r="I2" s="1"/>
      <x:c r="J2" s="164" t="str">
        <x:v>Employment contract</x:v>
      </x:c>
      <x:c r="K2" s="165" t="n">
        <x:f>COUNTIF('Cleaned Data'!$K$2:$K$101,J2)</x:f>
        <x:v>34</x:v>
      </x:c>
    </x:row>
    <x:row r="3">
      <x:c r="A3" s="164" t="str">
        <x:v>Reporting &amp; BI</x:v>
      </x:c>
      <x:c r="B3" s="165" t="n">
        <x:f>COUNTIF('Cleaned Data'!$M$2:$M$101,A3)</x:f>
        <x:v>25</x:v>
      </x:c>
      <x:c r="C3" s="1"/>
      <x:c r="D3" s="164" t="str">
        <x:v>Unknown</x:v>
      </x:c>
      <x:c r="E3" s="165" t="n">
        <x:f>COUNTIF('Cleaned Data'!$I$2:$I$101,D3)</x:f>
        <x:v>33</x:v>
      </x:c>
      <x:c r="F3" s="1"/>
      <x:c r="G3" s="164" t="str">
        <x:v>Junior–Mid</x:v>
      </x:c>
      <x:c r="H3" s="165" t="n">
        <x:f>COUNTIF('Cleaned Data'!$G$2:$G$101,G3)</x:f>
        <x:v>19</x:v>
      </x:c>
      <x:c r="I3" s="1"/>
      <x:c r="J3" s="164" t="str">
        <x:v>Unknown</x:v>
      </x:c>
      <x:c r="K3" s="165" t="n">
        <x:f>COUNTIF('Cleaned Data'!$K$2:$K$101,J3)</x:f>
        <x:v>31</x:v>
      </x:c>
    </x:row>
    <x:row r="4">
      <x:c r="A4" s="164" t="str">
        <x:v>Business &amp; systems analysis</x:v>
      </x:c>
      <x:c r="B4" s="165" t="n">
        <x:f>COUNTIF('Cleaned Data'!$M$2:$M$101,A4)</x:f>
        <x:v>18</x:v>
      </x:c>
      <x:c r="C4" s="1"/>
      <x:c r="D4" s="164" t="str">
        <x:v>On-site</x:v>
      </x:c>
      <x:c r="E4" s="165" t="n">
        <x:f>COUNTIF('Cleaned Data'!$I$2:$I$101,D4)</x:f>
        <x:v>21</x:v>
      </x:c>
      <x:c r="F4" s="1"/>
      <x:c r="G4" s="164" t="str">
        <x:v>Mid+</x:v>
      </x:c>
      <x:c r="H4" s="165" t="n">
        <x:f>COUNTIF('Cleaned Data'!$G$2:$G$101,G4)</x:f>
        <x:v>8</x:v>
      </x:c>
      <x:c r="I4" s="1"/>
      <x:c r="J4" s="164" t="str">
        <x:v>Multiple options</x:v>
      </x:c>
      <x:c r="K4" s="165" t="n">
        <x:f>COUNTIF('Cleaned Data'!$K$2:$K$101,J4)</x:f>
        <x:v>27</x:v>
      </x:c>
    </x:row>
    <x:row r="5">
      <x:c r="A5" s="164" t="str">
        <x:v>Information &amp; documentation</x:v>
      </x:c>
      <x:c r="B5" s="165" t="n">
        <x:f>COUNTIF('Cleaned Data'!$M$2:$M$101,A5)</x:f>
        <x:v>15</x:v>
      </x:c>
      <x:c r="C5" s="1"/>
      <x:c r="D5" s="164" t="str">
        <x:v>Mixed / flexible</x:v>
      </x:c>
      <x:c r="E5" s="165" t="n">
        <x:f>COUNTIF('Cleaned Data'!$I$2:$I$101,D5)</x:f>
        <x:v>6</x:v>
      </x:c>
      <x:c r="F5" s="1"/>
      <x:c r="G5" s="1"/>
      <x:c r="H5" s="166"/>
      <x:c r="I5" s="1"/>
      <x:c r="J5" s="164" t="str">
        <x:v>B2B</x:v>
      </x:c>
      <x:c r="K5" s="165" t="n">
        <x:f>COUNTIF('Cleaned Data'!$K$2:$K$101,J5)</x:f>
        <x:v>5</x:v>
      </x:c>
    </x:row>
    <x:row r="6">
      <x:c r="A6" s="164" t="str">
        <x:v>Operations &amp; data support</x:v>
      </x:c>
      <x:c r="B6" s="165" t="n">
        <x:f>COUNTIF('Cleaned Data'!$M$2:$M$101,A6)</x:f>
        <x:v>6</x:v>
      </x:c>
      <x:c r="C6" s="1"/>
      <x:c r="D6" s="164" t="str">
        <x:v>Remote</x:v>
      </x:c>
      <x:c r="E6" s="165" t="n">
        <x:f>COUNTIF('Cleaned Data'!$I$2:$I$101,D6)</x:f>
        <x:v>4</x:v>
      </x:c>
      <x:c r="F6" s="1"/>
      <x:c r="G6" s="1"/>
      <x:c r="H6" s="166"/>
      <x:c r="I6" s="1"/>
      <x:c r="J6" s="164" t="str">
        <x:v>Civil-law contract</x:v>
      </x:c>
      <x:c r="K6" s="165" t="n">
        <x:f>COUNTIF('Cleaned Data'!$K$2:$K$101,J6)</x:f>
        <x:v>2</x:v>
      </x:c>
    </x:row>
    <x:row r="7">
      <x:c r="A7" s="164" t="str">
        <x:v>Data governance &amp; quality</x:v>
      </x:c>
      <x:c r="B7" s="165" t="n">
        <x:f>COUNTIF('Cleaned Data'!$M$2:$M$101,A7)</x:f>
        <x:v>5</x:v>
      </x:c>
      <x:c r="C7" s="1"/>
      <x:c r="D7" s="1"/>
      <x:c r="E7" s="166"/>
      <x:c r="F7" s="1"/>
      <x:c r="G7" s="1"/>
      <x:c r="H7" s="166"/>
      <x:c r="I7" s="1"/>
      <x:c r="J7" s="164" t="str">
        <x:v>Internship / placement</x:v>
      </x:c>
      <x:c r="K7" s="165" t="n">
        <x:f>COUNTIF('Cleaned Data'!$K$2:$K$101,J7)</x:f>
        <x:v>1</x:v>
      </x:c>
    </x:row>
    <x:row r="8">
      <x:c r="A8" s="1"/>
      <x:c r="B8" s="166"/>
      <x:c r="C8" s="1"/>
      <x:c r="D8" s="1"/>
      <x:c r="E8" s="166"/>
      <x:c r="F8" s="1"/>
      <x:c r="G8" s="162" t="str">
        <x:v>Record quality</x:v>
      </x:c>
      <x:c r="H8" s="167" t="str">
        <x:v>Offers</x:v>
      </x:c>
      <x:c r="I8" s="1"/>
      <x:c r="J8" s="1"/>
      <x:c r="K8" s="1"/>
    </x:row>
    <x:row r="9">
      <x:c r="A9" s="1"/>
      <x:c r="B9" s="166"/>
      <x:c r="C9" s="1"/>
      <x:c r="D9" s="1"/>
      <x:c r="E9" s="166"/>
      <x:c r="F9" s="1"/>
      <x:c r="G9" s="164" t="str">
        <x:v>Needs verification</x:v>
      </x:c>
      <x:c r="H9" s="165" t="n">
        <x:f>COUNTIF('Cleaned Data'!$Q$2:$Q$101,G9)</x:f>
        <x:v>64</x:v>
      </x:c>
      <x:c r="I9" s="1"/>
      <x:c r="J9" s="1"/>
      <x:c r="K9" s="1"/>
    </x:row>
    <x:row r="10">
      <x:c r="A10" s="1"/>
      <x:c r="B10" s="166"/>
      <x:c r="C10" s="1"/>
      <x:c r="D10" s="1"/>
      <x:c r="E10" s="166"/>
      <x:c r="F10" s="1"/>
      <x:c r="G10" s="164" t="str">
        <x:v>Verified</x:v>
      </x:c>
      <x:c r="H10" s="165" t="n">
        <x:f>COUNTIF('Cleaned Data'!$Q$2:$Q$101,G10)</x:f>
        <x:v>25</x:v>
      </x:c>
      <x:c r="I10" s="1"/>
      <x:c r="J10" s="1"/>
      <x:c r="K10" s="1"/>
    </x:row>
    <x:row r="11">
      <x:c r="A11" s="162" t="str">
        <x:v>Tool</x:v>
      </x:c>
      <x:c r="B11" s="167" t="str">
        <x:v>Mentions</x:v>
      </x:c>
      <x:c r="C11" s="1"/>
      <x:c r="D11" s="162" t="str">
        <x:v>Portal</x:v>
      </x:c>
      <x:c r="E11" s="167" t="str">
        <x:v>Offers</x:v>
      </x:c>
      <x:c r="F11" s="1"/>
      <x:c r="G11" s="164" t="str">
        <x:v>Archived direct record</x:v>
      </x:c>
      <x:c r="H11" s="165" t="n">
        <x:f>COUNTIF('Cleaned Data'!$Q$2:$Q$101,G11)</x:f>
        <x:v>11</x:v>
      </x:c>
      <x:c r="I11" s="1"/>
      <x:c r="J11" s="1"/>
      <x:c r="K11" s="1"/>
    </x:row>
    <x:row r="12">
      <x:c r="A12" s="164" t="str">
        <x:v>Excel</x:v>
      </x:c>
      <x:c r="B12" s="165" t="n">
        <x:f>COUNTIF('Offer Tools'!$B$2:$B$78,A12)</x:f>
        <x:v>16</x:v>
      </x:c>
      <x:c r="C12" s="1"/>
      <x:c r="D12" s="164" t="str">
        <x:v>Pracuj.pl</x:v>
      </x:c>
      <x:c r="E12" s="165" t="n">
        <x:f>COUNTIF('Cleaned Data'!$B$2:$B$101,D12)</x:f>
        <x:v>66</x:v>
      </x:c>
      <x:c r="F12" s="1"/>
      <x:c r="G12" s="1"/>
      <x:c r="H12" s="1"/>
      <x:c r="I12" s="1"/>
      <x:c r="J12" s="1"/>
      <x:c r="K12" s="1"/>
    </x:row>
    <x:row r="13">
      <x:c r="A13" s="164" t="str">
        <x:v>MS Office</x:v>
      </x:c>
      <x:c r="B13" s="165" t="n">
        <x:f>COUNTIF('Offer Tools'!$B$2:$B$78,A13)</x:f>
        <x:v>15</x:v>
      </x:c>
      <x:c r="C13" s="1"/>
      <x:c r="D13" s="164" t="str">
        <x:v>Indeed</x:v>
      </x:c>
      <x:c r="E13" s="165" t="n">
        <x:f>COUNTIF('Cleaned Data'!$B$2:$B$101,D13)</x:f>
        <x:v>6</x:v>
      </x:c>
      <x:c r="F13" s="1"/>
      <x:c r="G13" s="1"/>
      <x:c r="H13" s="1"/>
      <x:c r="I13" s="1"/>
      <x:c r="J13" s="1"/>
      <x:c r="K13" s="1"/>
    </x:row>
    <x:row r="14">
      <x:c r="A14" s="164" t="str">
        <x:v>Power BI</x:v>
      </x:c>
      <x:c r="B14" s="165" t="n">
        <x:f>COUNTIF('Offer Tools'!$B$2:$B$78,A14)</x:f>
        <x:v>11</x:v>
      </x:c>
      <x:c r="C14" s="1"/>
      <x:c r="D14" s="164" t="str">
        <x:v>JustJoinIT</x:v>
      </x:c>
      <x:c r="E14" s="165" t="n">
        <x:f>COUNTIF('Cleaned Data'!$B$2:$B$101,D14)</x:f>
        <x:v>6</x:v>
      </x:c>
      <x:c r="F14" s="1"/>
      <x:c r="G14" s="1"/>
      <x:c r="H14" s="1"/>
      <x:c r="I14" s="1"/>
      <x:c r="J14" s="1"/>
      <x:c r="K14" s="1"/>
    </x:row>
    <x:row r="15">
      <x:c r="A15" s="164" t="str">
        <x:v>SQL</x:v>
      </x:c>
      <x:c r="B15" s="165" t="n">
        <x:f>COUNTIF('Offer Tools'!$B$2:$B$78,A15)</x:f>
        <x:v>11</x:v>
      </x:c>
      <x:c r="C15" s="1"/>
      <x:c r="D15" s="164" t="str">
        <x:v>Aplikuj.pl</x:v>
      </x:c>
      <x:c r="E15" s="165" t="n">
        <x:f>COUNTIF('Cleaned Data'!$B$2:$B$101,D15)</x:f>
        <x:v>5</x:v>
      </x:c>
      <x:c r="F15" s="1"/>
      <x:c r="G15" s="1"/>
      <x:c r="H15" s="1"/>
      <x:c r="I15" s="1"/>
      <x:c r="J15" s="1"/>
      <x:c r="K15" s="1"/>
    </x:row>
    <x:row r="16">
      <x:c r="A16" s="164" t="str">
        <x:v>BI tools</x:v>
      </x:c>
      <x:c r="B16" s="165" t="n">
        <x:f>COUNTIF('Offer Tools'!$B$2:$B$78,A16)</x:f>
        <x:v>6</x:v>
      </x:c>
      <x:c r="C16" s="1"/>
      <x:c r="D16" s="164" t="str">
        <x:v>OLX Praca</x:v>
      </x:c>
      <x:c r="E16" s="165" t="n">
        <x:f>COUNTIF('Cleaned Data'!$B$2:$B$101,D16)</x:f>
        <x:v>4</x:v>
      </x:c>
      <x:c r="F16" s="1"/>
      <x:c r="G16" s="1"/>
      <x:c r="H16" s="1"/>
      <x:c r="I16" s="1"/>
      <x:c r="J16" s="1"/>
      <x:c r="K16" s="1"/>
    </x:row>
    <x:row r="17">
      <x:c r="A17" s="164" t="str">
        <x:v>Python</x:v>
      </x:c>
      <x:c r="B17" s="165" t="n">
        <x:f>COUNTIF('Offer Tools'!$B$2:$B$78,A17)</x:f>
        <x:v>3</x:v>
      </x:c>
      <x:c r="C17" s="1"/>
      <x:c r="D17" s="164" t="str">
        <x:v>LinkedIn</x:v>
      </x:c>
      <x:c r="E17" s="165" t="n">
        <x:f>COUNTIF('Cleaned Data'!$B$2:$B$101,D17)</x:f>
        <x:v>3</x:v>
      </x:c>
      <x:c r="F17" s="1"/>
      <x:c r="G17" s="1"/>
      <x:c r="H17" s="1"/>
      <x:c r="I17" s="1"/>
      <x:c r="J17" s="1"/>
      <x:c r="K17" s="1"/>
    </x:row>
    <x:row r="18">
      <x:c r="A18" s="1"/>
      <x:c r="B18" s="1"/>
      <x:c r="C18" s="1"/>
      <x:c r="D18" s="1"/>
      <x:c r="E18" s="1"/>
      <x:c r="F18" s="1"/>
      <x:c r="G18" s="1"/>
      <x:c r="H18" s="1"/>
      <x:c r="I18" s="1"/>
      <x:c r="J18" s="1"/>
      <x:c r="K18" s="1"/>
    </x:row>
    <x:row r="19">
      <x:c r="A19" s="1"/>
      <x:c r="B19" s="1"/>
      <x:c r="C19" s="1"/>
      <x:c r="D19" s="1"/>
      <x:c r="E19" s="1"/>
      <x:c r="F19" s="1"/>
      <x:c r="G19" s="1"/>
      <x:c r="H19" s="1"/>
      <x:c r="I19" s="1"/>
      <x:c r="J19" s="1"/>
      <x:c r="K19" s="1"/>
    </x:row>
    <x:row r="20">
      <x:c r="A20" s="1"/>
      <x:c r="B20" s="1"/>
      <x:c r="C20" s="1"/>
      <x:c r="D20" s="1"/>
      <x:c r="E20" s="1"/>
      <x:c r="F20" s="1"/>
      <x:c r="G20" s="1"/>
      <x:c r="H20" s="1"/>
      <x:c r="I20" s="1"/>
      <x:c r="J20" s="1"/>
      <x:c r="K20" s="1"/>
    </x:row>
    <x:row r="21">
      <x:c r="A21" s="1"/>
      <x:c r="B21" s="1"/>
      <x:c r="C21" s="1"/>
      <x:c r="D21" s="1"/>
      <x:c r="E21" s="1"/>
      <x:c r="F21" s="1"/>
      <x:c r="G21" s="1"/>
      <x:c r="H21" s="1"/>
      <x:c r="I21" s="1"/>
      <x:c r="J21" s="1"/>
      <x:c r="K21" s="1"/>
    </x:row>
    <x:row r="22">
      <x:c r="A22" s="1"/>
      <x:c r="B22" s="1"/>
      <x:c r="C22" s="1"/>
      <x:c r="D22" s="1"/>
      <x:c r="E22" s="1"/>
      <x:c r="F22" s="1"/>
      <x:c r="G22" s="1"/>
      <x:c r="H22" s="1"/>
      <x:c r="I22" s="1"/>
      <x:c r="J22" s="1"/>
      <x:c r="K22" s="1"/>
    </x:row>
    <x:row r="23">
      <x:c r="A23" s="1"/>
      <x:c r="B23" s="1"/>
      <x:c r="C23" s="1"/>
      <x:c r="D23" s="1"/>
      <x:c r="E23" s="1"/>
      <x:c r="F23" s="1"/>
      <x:c r="G23" s="1"/>
      <x:c r="H23" s="1"/>
      <x:c r="I23" s="1"/>
      <x:c r="J23" s="1"/>
      <x:c r="K23" s="1"/>
    </x:row>
    <x:row r="24">
      <x:c r="A24" s="1"/>
      <x:c r="B24" s="1"/>
      <x:c r="C24" s="1"/>
      <x:c r="D24" s="1"/>
      <x:c r="E24" s="1"/>
      <x:c r="F24" s="1"/>
      <x:c r="G24" s="1"/>
      <x:c r="H24" s="1"/>
      <x:c r="I24" s="1"/>
      <x:c r="J24" s="1"/>
      <x:c r="K24" s="1"/>
    </x:row>
    <x:row r="25">
      <x:c r="A25" s="1"/>
      <x:c r="B25" s="1"/>
      <x:c r="C25" s="1"/>
      <x:c r="D25" s="1"/>
      <x:c r="E25" s="1"/>
      <x:c r="F25" s="1"/>
      <x:c r="G25" s="1"/>
      <x:c r="H25" s="1"/>
      <x:c r="I25" s="1"/>
      <x:c r="J25" s="1"/>
      <x:c r="K25" s="1"/>
    </x:row>
    <x:row r="26">
      <x:c r="A26" s="1"/>
      <x:c r="B26" s="1"/>
      <x:c r="C26" s="1"/>
      <x:c r="D26" s="1"/>
      <x:c r="E26" s="1"/>
      <x:c r="F26" s="1"/>
      <x:c r="G26" s="1"/>
      <x:c r="H26" s="1"/>
      <x:c r="I26" s="1"/>
      <x:c r="J26" s="1"/>
      <x:c r="K26" s="1"/>
    </x:row>
    <x:row r="27">
      <x:c r="A27" s="1"/>
      <x:c r="B27" s="1"/>
      <x:c r="C27" s="1"/>
      <x:c r="D27" s="1"/>
      <x:c r="E27" s="1"/>
      <x:c r="F27" s="1"/>
      <x:c r="G27" s="1"/>
      <x:c r="H27" s="1"/>
      <x:c r="I27" s="1"/>
      <x:c r="J27" s="1"/>
      <x:c r="K27" s="1"/>
    </x:row>
    <x:row r="28">
      <x:c r="A28" s="1"/>
      <x:c r="B28" s="1"/>
      <x:c r="C28" s="1"/>
      <x:c r="D28" s="1"/>
      <x:c r="E28" s="1"/>
      <x:c r="F28" s="1"/>
      <x:c r="G28" s="1"/>
      <x:c r="H28" s="1"/>
      <x:c r="I28" s="1"/>
      <x:c r="J28" s="1"/>
      <x:c r="K28" s="1"/>
    </x:row>
    <x:row r="29">
      <x:c r="A29" s="1"/>
      <x:c r="B29" s="1"/>
      <x:c r="C29" s="1"/>
      <x:c r="D29" s="1"/>
      <x:c r="E29" s="1"/>
      <x:c r="F29" s="1"/>
      <x:c r="G29" s="1"/>
      <x:c r="H29" s="1"/>
      <x:c r="I29" s="1"/>
      <x:c r="J29" s="1"/>
      <x:c r="K29" s="1"/>
    </x:row>
    <x:row r="30">
      <x:c r="A30" s="1"/>
      <x:c r="B30" s="1"/>
      <x:c r="C30" s="1"/>
      <x:c r="D30" s="1"/>
      <x:c r="E30" s="1"/>
      <x:c r="F30" s="1"/>
      <x:c r="G30" s="1"/>
      <x:c r="H30" s="1"/>
      <x:c r="I30" s="1"/>
      <x:c r="J30" s="1"/>
      <x:c r="K30" s="1"/>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4" hidden="0" customWidth="1"/>
    <x:col min="2" max="2" width="27" hidden="0" customWidth="1"/>
    <x:col min="3" max="3" width="24" hidden="0" customWidth="1"/>
    <x:col min="4" max="4" width="24" hidden="0" customWidth="1"/>
    <x:col min="5" max="5" width="24" hidden="0" customWidth="1"/>
    <x:col min="6" max="6" width="24" hidden="0" customWidth="1"/>
    <x:col min="7" max="7" width="24" hidden="0" customWidth="1"/>
    <x:col min="8" max="8" width="4" hidden="0" customWidth="1"/>
  </x:cols>
  <x:sheetData>
    <x:row r="1">
      <x:c r="A1" s="227" t="str">
        <x:v>METHODOLOGY &amp; DATA QUALITY</x:v>
      </x:c>
      <x:c r="B1" s="227"/>
      <x:c r="C1" s="227"/>
      <x:c r="D1" s="227"/>
      <x:c r="E1" s="227"/>
      <x:c r="F1" s="227"/>
      <x:c r="G1" s="227"/>
      <x:c r="H1" s="227"/>
    </x:row>
    <x:row r="2">
      <x:c r="A2" s="227"/>
      <x:c r="B2" s="227"/>
      <x:c r="C2" s="227"/>
      <x:c r="D2" s="227"/>
      <x:c r="E2" s="227"/>
      <x:c r="F2" s="227"/>
      <x:c r="G2" s="227"/>
      <x:c r="H2" s="227"/>
    </x:row>
    <x:row r="4">
      <x:c r="B4" s="232" t="str">
        <x:v>Project scope</x:v>
      </x:c>
      <x:c r="C4" s="233"/>
      <x:c r="D4" s="233"/>
      <x:c r="E4" s="233"/>
      <x:c r="F4" s="233"/>
      <x:c r="G4" s="234"/>
    </x:row>
    <x:row r="5">
      <x:c r="B5" s="254" t="str">
        <x:v>A portfolio analysis of 100 job offers connected with information management, data analysis, reporting, business analysis and data support. The source workbook was collected for academic research. All postings share the access date 2026-07-09.</x:v>
      </x:c>
      <x:c r="C5" s="255"/>
      <x:c r="D5" s="255"/>
      <x:c r="E5" s="255"/>
      <x:c r="F5" s="255"/>
      <x:c r="G5" s="256"/>
    </x:row>
    <x:row r="6">
      <x:c r="B6" s="257"/>
      <x:c r="C6" s="258"/>
      <x:c r="D6" s="258"/>
      <x:c r="E6" s="258"/>
      <x:c r="F6" s="258"/>
      <x:c r="G6" s="259"/>
    </x:row>
    <x:row r="7">
      <x:c r="B7" s="260"/>
      <x:c r="C7" s="261"/>
      <x:c r="D7" s="261"/>
      <x:c r="E7" s="261"/>
      <x:c r="F7" s="261"/>
      <x:c r="G7" s="262"/>
    </x:row>
    <x:row r="9">
      <x:c r="B9" s="232" t="str">
        <x:v>Cleaning and standardisation</x:v>
      </x:c>
      <x:c r="C9" s="233"/>
      <x:c r="D9" s="233"/>
      <x:c r="E9" s="233"/>
      <x:c r="F9" s="233"/>
      <x:c r="G9" s="234"/>
    </x:row>
    <x:row r="10">
      <x:c r="B10" s="254" t="str">
        <x:v>• Standardised seniority into Junior / entry, Junior–Mid and Mid+.
• Standardised work mode into Hybrid, On-site, Remote, Mixed / flexible and Unknown.
• Standardised employment type and job family.
• Extracted individual tool mentions into a separate one-to-many table.
• Added salary-disclosure and duplicate-record flags.</x:v>
      </x:c>
      <x:c r="C10" s="255"/>
      <x:c r="D10" s="255"/>
      <x:c r="E10" s="255"/>
      <x:c r="F10" s="255"/>
      <x:c r="G10" s="256"/>
    </x:row>
    <x:row r="11">
      <x:c r="B11" s="257"/>
      <x:c r="C11" s="258"/>
      <x:c r="D11" s="258"/>
      <x:c r="E11" s="258"/>
      <x:c r="F11" s="258"/>
      <x:c r="G11" s="259"/>
    </x:row>
    <x:row r="12">
      <x:c r="B12" s="257"/>
      <x:c r="C12" s="258"/>
      <x:c r="D12" s="258"/>
      <x:c r="E12" s="258"/>
      <x:c r="F12" s="258"/>
      <x:c r="G12" s="259"/>
    </x:row>
    <x:row r="13">
      <x:c r="B13" s="257"/>
      <x:c r="C13" s="258"/>
      <x:c r="D13" s="258"/>
      <x:c r="E13" s="258"/>
      <x:c r="F13" s="258"/>
      <x:c r="G13" s="259"/>
    </x:row>
    <x:row r="14">
      <x:c r="B14" s="260"/>
      <x:c r="C14" s="261"/>
      <x:c r="D14" s="261"/>
      <x:c r="E14" s="261"/>
      <x:c r="F14" s="261"/>
      <x:c r="G14" s="262"/>
    </x:row>
    <x:row r="16">
      <x:c r="B16" s="232" t="str">
        <x:v>Record-quality rules</x:v>
      </x:c>
      <x:c r="C16" s="233"/>
      <x:c r="D16" s="233"/>
      <x:c r="E16" s="233"/>
      <x:c r="F16" s="233"/>
      <x:c r="G16" s="234"/>
    </x:row>
    <x:row r="17">
      <x:c r="B17" s="254" t="str">
        <x:v>Verified (25): direct listing or sufficiently specific active record.
Archived direct record (11): a direct listing exists but is archived/closed.
Needs verification (64): search result, generic URL, incomplete source or status requiring manual confirmation.
These labels prevent the dashboard from presenting every row as a current, independently verified vacancy.</x:v>
      </x:c>
      <x:c r="C17" s="255"/>
      <x:c r="D17" s="255"/>
      <x:c r="E17" s="255"/>
      <x:c r="F17" s="255"/>
      <x:c r="G17" s="256"/>
    </x:row>
    <x:row r="18">
      <x:c r="B18" s="257"/>
      <x:c r="C18" s="258"/>
      <x:c r="D18" s="258"/>
      <x:c r="E18" s="258"/>
      <x:c r="F18" s="258"/>
      <x:c r="G18" s="259"/>
    </x:row>
    <x:row r="19">
      <x:c r="B19" s="257"/>
      <x:c r="C19" s="258"/>
      <x:c r="D19" s="258"/>
      <x:c r="E19" s="258"/>
      <x:c r="F19" s="258"/>
      <x:c r="G19" s="259"/>
    </x:row>
    <x:row r="20">
      <x:c r="B20" s="257"/>
      <x:c r="C20" s="258"/>
      <x:c r="D20" s="258"/>
      <x:c r="E20" s="258"/>
      <x:c r="F20" s="258"/>
      <x:c r="G20" s="259"/>
    </x:row>
    <x:row r="21">
      <x:c r="B21" s="260"/>
      <x:c r="C21" s="261"/>
      <x:c r="D21" s="261"/>
      <x:c r="E21" s="261"/>
      <x:c r="F21" s="261"/>
      <x:c r="G21" s="262"/>
    </x:row>
    <x:row r="23">
      <x:c r="B23" s="232" t="str">
        <x:v>Limitations</x:v>
      </x:c>
      <x:c r="C23" s="233"/>
      <x:c r="D23" s="233"/>
      <x:c r="E23" s="233"/>
      <x:c r="F23" s="233"/>
      <x:c r="G23" s="234"/>
    </x:row>
    <x:row r="24">
      <x:c r="B24" s="254" t="str">
        <x:v>This is a purposive academic sample, not a representative census of the Polish labour market. Portal coverage is uneven (Pracuj.pl supplies most records). Listings may have changed since collection. Salary fields mix currencies, gross/net amounts and time units; only disclosure frequency is reported, not comparable salary levels. Counts of tools reflect explicit mentions in the collected text.</x:v>
      </x:c>
      <x:c r="C24" s="255"/>
      <x:c r="D24" s="255"/>
      <x:c r="E24" s="255"/>
      <x:c r="F24" s="255"/>
      <x:c r="G24" s="256"/>
    </x:row>
    <x:row r="25">
      <x:c r="B25" s="257"/>
      <x:c r="C25" s="258"/>
      <x:c r="D25" s="258"/>
      <x:c r="E25" s="258"/>
      <x:c r="F25" s="258"/>
      <x:c r="G25" s="259"/>
    </x:row>
    <x:row r="26">
      <x:c r="B26" s="257"/>
      <x:c r="C26" s="258"/>
      <x:c r="D26" s="258"/>
      <x:c r="E26" s="258"/>
      <x:c r="F26" s="258"/>
      <x:c r="G26" s="259"/>
    </x:row>
    <x:row r="27">
      <x:c r="B27" s="257"/>
      <x:c r="C27" s="258"/>
      <x:c r="D27" s="258"/>
      <x:c r="E27" s="258"/>
      <x:c r="F27" s="258"/>
      <x:c r="G27" s="259"/>
    </x:row>
    <x:row r="28">
      <x:c r="B28" s="260"/>
      <x:c r="C28" s="261"/>
      <x:c r="D28" s="261"/>
      <x:c r="E28" s="261"/>
      <x:c r="F28" s="261"/>
      <x:c r="G28" s="262"/>
    </x:row>
  </x:sheetData>
  <x:mergeCells>
    <x:mergeCell ref="A1:H2"/>
    <x:mergeCell ref="B4:G4"/>
    <x:mergeCell ref="B5:G7"/>
    <x:mergeCell ref="B9:G9"/>
    <x:mergeCell ref="B10:G14"/>
    <x:mergeCell ref="B16:G16"/>
    <x:mergeCell ref="B17:G21"/>
    <x:mergeCell ref="B23:G23"/>
    <x:mergeCell ref="B24:G28"/>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5" hidden="0" customWidth="1"/>
    <x:col min="3" max="3" width="34" hidden="0" customWidth="1"/>
    <x:col min="4" max="4" width="28" hidden="0" customWidth="1"/>
    <x:col min="5" max="5" width="20" hidden="0" customWidth="1"/>
    <x:col min="6" max="6" width="18" hidden="0" customWidth="1"/>
    <x:col min="7" max="7" width="18" hidden="0" customWidth="1"/>
    <x:col min="8" max="8" width="18" hidden="0" customWidth="1"/>
    <x:col min="9" max="9" width="18" hidden="0" customWidth="1"/>
    <x:col min="10" max="10" width="24" hidden="0" customWidth="1"/>
    <x:col min="11" max="11" width="22" hidden="0" customWidth="1"/>
    <x:col min="12" max="12" width="28" hidden="0" customWidth="1"/>
    <x:col min="13" max="13" width="28" hidden="0" customWidth="1"/>
    <x:col min="14" max="14" width="32" hidden="0" customWidth="1"/>
    <x:col min="15" max="15" width="28" hidden="0" customWidth="1"/>
    <x:col min="16" max="16" width="14" hidden="0" customWidth="1"/>
    <x:col min="17" max="17" width="22" hidden="0" customWidth="1"/>
    <x:col min="18" max="18" width="48" hidden="0" customWidth="1"/>
    <x:col min="19" max="19" width="14" hidden="0" customWidth="1"/>
    <x:col min="20" max="20" width="45" hidden="0" customWidth="1"/>
    <x:col min="21" max="21" width="45" hidden="0" customWidth="1"/>
    <x:col min="22" max="22" width="45" hidden="0" customWidth="1"/>
    <x:col min="23" max="23" width="35" hidden="0" customWidth="1"/>
    <x:col min="24" max="24" width="20" hidden="0" customWidth="1"/>
    <x:col min="25" max="25" width="24" hidden="0" customWidth="1"/>
  </x:cols>
  <x:sheetData>
    <x:row r="1">
      <x:c r="A1" s="265" t="str">
        <x:v>offer_id</x:v>
      </x:c>
      <x:c r="B1" s="265" t="str">
        <x:v>portal</x:v>
      </x:c>
      <x:c r="C1" s="265" t="str">
        <x:v>job_title</x:v>
      </x:c>
      <x:c r="D1" s="265" t="str">
        <x:v>company</x:v>
      </x:c>
      <x:c r="E1" s="265" t="str">
        <x:v>location</x:v>
      </x:c>
      <x:c r="F1" s="265" t="str">
        <x:v>seniority_raw</x:v>
      </x:c>
      <x:c r="G1" s="265" t="str">
        <x:v>seniority_group</x:v>
      </x:c>
      <x:c r="H1" s="265" t="str">
        <x:v>work_mode_raw</x:v>
      </x:c>
      <x:c r="I1" s="265" t="str">
        <x:v>work_mode_group</x:v>
      </x:c>
      <x:c r="J1" s="265" t="str">
        <x:v>employment_raw</x:v>
      </x:c>
      <x:c r="K1" s="265" t="str">
        <x:v>employment_group</x:v>
      </x:c>
      <x:c r="L1" s="265" t="str">
        <x:v>category_raw</x:v>
      </x:c>
      <x:c r="M1" s="265" t="str">
        <x:v>category_group</x:v>
      </x:c>
      <x:c r="N1" s="265" t="str">
        <x:v>tools_raw</x:v>
      </x:c>
      <x:c r="O1" s="265" t="str">
        <x:v>salary_raw</x:v>
      </x:c>
      <x:c r="P1" s="265" t="str">
        <x:v>salary_disclosed</x:v>
      </x:c>
      <x:c r="Q1" s="265" t="str">
        <x:v>record_quality</x:v>
      </x:c>
      <x:c r="R1" s="265" t="str">
        <x:v>source_url</x:v>
      </x:c>
      <x:c r="S1" s="265" t="str">
        <x:v>access_date</x:v>
      </x:c>
      <x:c r="T1" s="265" t="str">
        <x:v>tasks_competencies</x:v>
      </x:c>
      <x:c r="U1" s="265" t="str">
        <x:v>requirements</x:v>
      </x:c>
      <x:c r="V1" s="265" t="str">
        <x:v>fit_notes</x:v>
      </x:c>
      <x:c r="W1" s="265" t="str">
        <x:v>status_raw</x:v>
      </x:c>
      <x:c r="X1" s="265" t="str">
        <x:v>duplicate_source_url</x:v>
      </x:c>
      <x:c r="Y1" s="265" t="str">
        <x:v>duplicate_title_company</x:v>
      </x:c>
    </x:row>
    <x:row r="2">
      <x:c r="A2" s="269" t="str">
        <x:v>1</x:v>
      </x:c>
      <x:c r="B2" s="269" t="str">
        <x:v>Pracuj.pl</x:v>
      </x:c>
      <x:c r="C2" s="269" t="str">
        <x:v>Junior Data Analyst / Młodszy Analityk Danych</x:v>
      </x:c>
      <x:c r="D2" s="269" t="str">
        <x:v>OEC Sp. z o.o.</x:v>
      </x:c>
      <x:c r="E2" s="269" t="str">
        <x:v>Kraków, Podgórze</x:v>
      </x:c>
      <x:c r="F2" s="269" t="str">
        <x:v>junior</x:v>
      </x:c>
      <x:c r="G2" s="269" t="str">
        <x:v>Junior / entry</x:v>
      </x:c>
      <x:c r="H2" s="269" t="str">
        <x:v>hybrydowa</x:v>
      </x:c>
      <x:c r="I2" s="269" t="str">
        <x:v>Hybrid</x:v>
      </x:c>
      <x:c r="J2" s="269" t="str">
        <x:v>umowa o pracę</x:v>
      </x:c>
      <x:c r="K2" s="269" t="str">
        <x:v>Employment contract</x:v>
      </x:c>
      <x:c r="L2" s="269" t="str">
        <x:v>analityczne / dane</x:v>
      </x:c>
      <x:c r="M2" s="269" t="str">
        <x:v>Data analysis</x:v>
      </x:c>
      <x:c r="N2" s="269" t="str">
        <x:v>MS Office</x:v>
      </x:c>
      <x:c r="O2" s="269" t="str">
        <x:v>brak informacji</x:v>
      </x:c>
      <x:c r="P2" s="269" t="str">
        <x:v>No</x:v>
      </x:c>
      <x:c r="Q2" s="269" t="str">
        <x:v>Verified</x:v>
      </x:c>
      <x:c r="R2" s="269" t="str">
        <x:v>https://www.pracuj.pl/praca/junior-data-analyst-mlodszy-analityk-danych-krakow-wadowicka-3a%2Coferta%2C1004923871</x:v>
      </x:c>
      <x:c r="S2" s="270" t="str">
        <x:v>2026-07-09</x:v>
      </x:c>
      <x:c r="T2" s="269" t="str">
        <x:v>analiza i weryfikacja danych, katalogi elektroniczne, jakość informacji</x:v>
      </x:c>
      <x:c r="U2" s="269" t="str">
        <x:v>angielski B2, MS Office, umiejętności analityczne</x:v>
      </x:c>
      <x:c r="V2" s="269" t="str">
        <x:v>bardzo pasuje – dane, jakość informacji, katalogi, praca z informacją</x:v>
      </x:c>
      <x:c r="W2" s="269" t="str">
        <x:v>zweryfikowana – aktywna wg źródła</x:v>
      </x:c>
      <x:c r="X2" s="269" t="str">
        <x:v>No</x:v>
      </x:c>
      <x:c r="Y2" s="269" t="str">
        <x:v>No</x:v>
      </x:c>
    </x:row>
    <x:row r="3">
      <x:c r="A3" s="269" t="str">
        <x:v>2</x:v>
      </x:c>
      <x:c r="B3" s="269" t="str">
        <x:v>Pracuj.pl</x:v>
      </x:c>
      <x:c r="C3" s="269" t="str">
        <x:v>Młodszy analityk danych (k/m)</x:v>
      </x:c>
      <x:c r="D3" s="269" t="str">
        <x:v>Polskie Supermarkety Sp. z o.o.</x:v>
      </x:c>
      <x:c r="E3" s="269" t="str">
        <x:v>Giebnia, pow. inowrocławski</x:v>
      </x:c>
      <x:c r="F3" s="269" t="str">
        <x:v>junior</x:v>
      </x:c>
      <x:c r="G3" s="269" t="str">
        <x:v>Junior / entry</x:v>
      </x:c>
      <x:c r="H3" s="269" t="str">
        <x:v>stacjonarna</x:v>
      </x:c>
      <x:c r="I3" s="269" t="str">
        <x:v>On-site</x:v>
      </x:c>
      <x:c r="J3" s="269" t="str">
        <x:v>umowa o pracę</x:v>
      </x:c>
      <x:c r="K3" s="269" t="str">
        <x:v>Employment contract</x:v>
      </x:c>
      <x:c r="L3" s="269" t="str">
        <x:v>analityczne / dane</x:v>
      </x:c>
      <x:c r="M3" s="269" t="str">
        <x:v>Data analysis</x:v>
      </x:c>
      <x:c r="N3" s="269" t="str">
        <x:v>brak informacji</x:v>
      </x:c>
      <x:c r="O3" s="269" t="str">
        <x:v>5 000–6 000 zł brutto/mies.</x:v>
      </x:c>
      <x:c r="P3" s="269" t="str">
        <x:v>Yes</x:v>
      </x:c>
      <x:c r="Q3" s="269" t="str">
        <x:v>Verified</x:v>
      </x:c>
      <x:c r="R3" s="269" t="str">
        <x:v>https://www.pracuj.pl/praca/mlodszy-analityk-danych-k-m-giebnia-pow-inowroclawski%2Coferta%2C1004955778</x:v>
      </x:c>
      <x:c r="S3" s="270" t="str">
        <x:v>2026-07-09</x:v>
      </x:c>
      <x:c r="T3" s="269" t="str">
        <x:v>analiza danych</x:v>
      </x:c>
      <x:c r="U3" s="269" t="str">
        <x:v>junior</x:v>
      </x:c>
      <x:c r="V3" s="269" t="str">
        <x:v>pasuje – młodszy analityk danych</x:v>
      </x:c>
      <x:c r="W3" s="269" t="str">
        <x:v>zweryfikowana</x:v>
      </x:c>
      <x:c r="X3" s="269" t="str">
        <x:v>No</x:v>
      </x:c>
      <x:c r="Y3" s="269" t="str">
        <x:v>No</x:v>
      </x:c>
    </x:row>
    <x:row r="4">
      <x:c r="A4" s="269" t="str">
        <x:v>3</x:v>
      </x:c>
      <x:c r="B4" s="269" t="str">
        <x:v>Pracuj.pl</x:v>
      </x:c>
      <x:c r="C4" s="269" t="str">
        <x:v>Junior Data Governance Analyst</x:v>
      </x:c>
      <x:c r="D4" s="269" t="str">
        <x:v>Randstad Polska Sp. z o.o.</x:v>
      </x:c>
      <x:c r="E4" s="269" t="str">
        <x:v>Kraków</x:v>
      </x:c>
      <x:c r="F4" s="269" t="str">
        <x:v>junior</x:v>
      </x:c>
      <x:c r="G4" s="269" t="str">
        <x:v>Junior / entry</x:v>
      </x:c>
      <x:c r="H4" s="269" t="str">
        <x:v>hybrydowa</x:v>
      </x:c>
      <x:c r="I4" s="269" t="str">
        <x:v>Hybrid</x:v>
      </x:c>
      <x:c r="J4" s="269" t="str">
        <x:v>umowa o pracę tymczasową</x:v>
      </x:c>
      <x:c r="K4" s="269" t="str">
        <x:v>Employment contract</x:v>
      </x:c>
      <x:c r="L4" s="269" t="str">
        <x:v>data governance</x:v>
      </x:c>
      <x:c r="M4" s="269" t="str">
        <x:v>Data governance &amp; quality</x:v>
      </x:c>
      <x:c r="N4" s="269" t="str">
        <x:v>brak informacji</x:v>
      </x:c>
      <x:c r="O4" s="269" t="str">
        <x:v>brak informacji</x:v>
      </x:c>
      <x:c r="P4" s="269" t="str">
        <x:v>No</x:v>
      </x:c>
      <x:c r="Q4" s="269" t="str">
        <x:v>Verified</x:v>
      </x:c>
      <x:c r="R4" s="269" t="str">
        <x:v>https://www.pracuj.pl/praca/junior-data-governance-analyst-krakow%2Coferta%2C1004922861</x:v>
      </x:c>
      <x:c r="S4" s="270" t="str">
        <x:v>2026-07-09</x:v>
      </x:c>
      <x:c r="T4" s="269" t="str">
        <x:v>zarządzanie jakością i ładem danych</x:v>
      </x:c>
      <x:c r="U4" s="269" t="str">
        <x:v>junior</x:v>
      </x:c>
      <x:c r="V4" s="269" t="str">
        <x:v>bardzo pasuje – data governance i zarządzanie informacją</x:v>
      </x:c>
      <x:c r="W4" s="269" t="str">
        <x:v>zweryfikowana</x:v>
      </x:c>
      <x:c r="X4" s="269" t="str">
        <x:v>No</x:v>
      </x:c>
      <x:c r="Y4" s="269" t="str">
        <x:v>No</x:v>
      </x:c>
    </x:row>
    <x:row r="5">
      <x:c r="A5" s="269" t="str">
        <x:v>4</x:v>
      </x:c>
      <x:c r="B5" s="269" t="str">
        <x:v>Pracuj.pl</x:v>
      </x:c>
      <x:c r="C5" s="269" t="str">
        <x:v>Junior Data Analyst</x:v>
      </x:c>
      <x:c r="D5" s="269" t="str">
        <x:v>Autopay</x:v>
      </x:c>
      <x:c r="E5" s="269" t="str">
        <x:v>Sopot</x:v>
      </x:c>
      <x:c r="F5" s="269" t="str">
        <x:v>junior</x:v>
      </x:c>
      <x:c r="G5" s="269" t="str">
        <x:v>Junior / entry</x:v>
      </x:c>
      <x:c r="H5" s="269" t="str">
        <x:v>brak informacji</x:v>
      </x:c>
      <x:c r="I5" s="269" t="str">
        <x:v>Unknown</x:v>
      </x:c>
      <x:c r="J5" s="269" t="str">
        <x:v>brak informacji</x:v>
      </x:c>
      <x:c r="K5" s="269" t="str">
        <x:v>Unknown</x:v>
      </x:c>
      <x:c r="L5" s="269" t="str">
        <x:v>analityczne / dane</x:v>
      </x:c>
      <x:c r="M5" s="269" t="str">
        <x:v>Data analysis</x:v>
      </x:c>
      <x:c r="N5" s="269" t="str">
        <x:v>brak informacji</x:v>
      </x:c>
      <x:c r="O5" s="269" t="str">
        <x:v>brak informacji</x:v>
      </x:c>
      <x:c r="P5" s="269" t="str">
        <x:v>No</x:v>
      </x:c>
      <x:c r="Q5" s="269" t="str">
        <x:v>Verified</x:v>
      </x:c>
      <x:c r="R5" s="269" t="str">
        <x:v>https://www.pracuj.pl/praca/junior-data-analyst-sopot-powstancow-warszawy-6%2Coferta%2C1004924842</x:v>
      </x:c>
      <x:c r="S5" s="270" t="str">
        <x:v>2026-07-09</x:v>
      </x:c>
      <x:c r="T5" s="269" t="str">
        <x:v>analiza danych</x:v>
      </x:c>
      <x:c r="U5" s="269" t="str">
        <x:v>junior</x:v>
      </x:c>
      <x:c r="V5" s="269" t="str">
        <x:v>pasuje – junior data analyst</x:v>
      </x:c>
      <x:c r="W5" s="269" t="str">
        <x:v>zweryfikowana</x:v>
      </x:c>
      <x:c r="X5" s="269" t="str">
        <x:v>No</x:v>
      </x:c>
      <x:c r="Y5" s="269" t="str">
        <x:v>No</x:v>
      </x:c>
    </x:row>
    <x:row r="6">
      <x:c r="A6" s="269" t="str">
        <x:v>5</x:v>
      </x:c>
      <x:c r="B6" s="269" t="str">
        <x:v>Pracuj.pl</x:v>
      </x:c>
      <x:c r="C6" s="269" t="str">
        <x:v>Młodszy Analityk Finansowy / Młodsza Analityczka Finansowa</x:v>
      </x:c>
      <x:c r="D6" s="269" t="str">
        <x:v>PKO Ubezpieczenia</x:v>
      </x:c>
      <x:c r="E6" s="269" t="str">
        <x:v>Warszawa, Śródmieście</x:v>
      </x:c>
      <x:c r="F6" s="269" t="str">
        <x:v>junior</x:v>
      </x:c>
      <x:c r="G6" s="269" t="str">
        <x:v>Junior / entry</x:v>
      </x:c>
      <x:c r="H6" s="269" t="str">
        <x:v>hybrydowa</x:v>
      </x:c>
      <x:c r="I6" s="269" t="str">
        <x:v>Hybrid</x:v>
      </x:c>
      <x:c r="J6" s="269" t="str">
        <x:v>umowa zlecenie</x:v>
      </x:c>
      <x:c r="K6" s="269" t="str">
        <x:v>Civil-law contract</x:v>
      </x:c>
      <x:c r="L6" s="269" t="str">
        <x:v>analityczne / finansowe</x:v>
      </x:c>
      <x:c r="M6" s="269" t="str">
        <x:v>Data analysis</x:v>
      </x:c>
      <x:c r="N6" s="269" t="str">
        <x:v>brak informacji</x:v>
      </x:c>
      <x:c r="O6" s="269" t="str">
        <x:v>brak informacji</x:v>
      </x:c>
      <x:c r="P6" s="269" t="str">
        <x:v>No</x:v>
      </x:c>
      <x:c r="Q6" s="269" t="str">
        <x:v>Verified</x:v>
      </x:c>
      <x:c r="R6" s="269" t="str">
        <x:v>https://www.pracuj.pl/praca/mlodszy-analityk-finansowy-mlodsza-analityczka-finansowa-warszawa-swietokrzyska-36%2Coferta%2C1004905742</x:v>
      </x:c>
      <x:c r="S6" s="270" t="str">
        <x:v>2026-07-09</x:v>
      </x:c>
      <x:c r="T6" s="269" t="str">
        <x:v>analiza, raportowanie, dane finansowe</x:v>
      </x:c>
      <x:c r="U6" s="269" t="str">
        <x:v>junior</x:v>
      </x:c>
      <x:c r="V6" s="269" t="str">
        <x:v>pasuje jako stanowisko analityczne dla absolwenta</x:v>
      </x:c>
      <x:c r="W6" s="269" t="str">
        <x:v>zweryfikowana</x:v>
      </x:c>
      <x:c r="X6" s="269" t="str">
        <x:v>No</x:v>
      </x:c>
      <x:c r="Y6" s="269" t="str">
        <x:v>No</x:v>
      </x:c>
    </x:row>
    <x:row r="7">
      <x:c r="A7" s="269" t="str">
        <x:v>6</x:v>
      </x:c>
      <x:c r="B7" s="269" t="str">
        <x:v>Pracuj.pl</x:v>
      </x:c>
      <x:c r="C7" s="269" t="str">
        <x:v>Młodszy Developer / Administrator Środowiska BI w Zespole Aplikacji Business Intelligence (k/m)</x:v>
      </x:c>
      <x:c r="D7" s="269" t="str">
        <x:v>ORLEN S.A.</x:v>
      </x:c>
      <x:c r="E7" s="269" t="str">
        <x:v>Warszawa</x:v>
      </x:c>
      <x:c r="F7" s="269" t="str">
        <x:v>junior/mid</x:v>
      </x:c>
      <x:c r="G7" s="269" t="str">
        <x:v>Junior–Mid</x:v>
      </x:c>
      <x:c r="H7" s="269" t="str">
        <x:v>hybrydowa</x:v>
      </x:c>
      <x:c r="I7" s="269" t="str">
        <x:v>Hybrid</x:v>
      </x:c>
      <x:c r="J7" s="269" t="str">
        <x:v>umowa o pracę</x:v>
      </x:c>
      <x:c r="K7" s="269" t="str">
        <x:v>Employment contract</x:v>
      </x:c>
      <x:c r="L7" s="269" t="str">
        <x:v>BI / systemy informacyjne</x:v>
      </x:c>
      <x:c r="M7" s="269" t="str">
        <x:v>Reporting &amp; BI</x:v>
      </x:c>
      <x:c r="N7" s="269" t="str">
        <x:v>Power BI, SQL</x:v>
      </x:c>
      <x:c r="O7" s="269" t="str">
        <x:v>brak informacji</x:v>
      </x:c>
      <x:c r="P7" s="269" t="str">
        <x:v>No</x:v>
      </x:c>
      <x:c r="Q7" s="269" t="str">
        <x:v>Verified</x:v>
      </x:c>
      <x:c r="R7" s="269" t="str">
        <x:v>https://www.pracuj.pl/praca/mlodszy-developer-administrator-srodowiska-bi-w-zespole-aplikacji-business-intel-warszawa-bielanska-12%2Coferta%2C1004932531</x:v>
      </x:c>
      <x:c r="S7" s="270" t="str">
        <x:v>2026-07-09</x:v>
      </x:c>
      <x:c r="T7" s="269" t="str">
        <x:v>administracja środowiskiem BI, dane, raportowanie</x:v>
      </x:c>
      <x:c r="U7" s="269" t="str">
        <x:v>junior/mid</x:v>
      </x:c>
      <x:c r="V7" s="269" t="str">
        <x:v>pasuje – BI i systemy informacyjne</x:v>
      </x:c>
      <x:c r="W7" s="269" t="str">
        <x:v>zweryfikowana</x:v>
      </x:c>
      <x:c r="X7" s="269" t="str">
        <x:v>No</x:v>
      </x:c>
      <x:c r="Y7" s="269" t="str">
        <x:v>No</x:v>
      </x:c>
    </x:row>
    <x:row r="8">
      <x:c r="A8" s="269" t="str">
        <x:v>7</x:v>
      </x:c>
      <x:c r="B8" s="269" t="str">
        <x:v>Pracuj.pl</x:v>
      </x:c>
      <x:c r="C8" s="269" t="str">
        <x:v>Młodszy Analityk Danych (k/m)</x:v>
      </x:c>
      <x:c r="D8" s="269" t="str">
        <x:v>Diagnosis S.A.</x:v>
      </x:c>
      <x:c r="E8" s="269" t="str">
        <x:v>Białystok</x:v>
      </x:c>
      <x:c r="F8" s="269" t="str">
        <x:v>junior</x:v>
      </x:c>
      <x:c r="G8" s="269" t="str">
        <x:v>Junior / entry</x:v>
      </x:c>
      <x:c r="H8" s="269" t="str">
        <x:v>stacjonarna</x:v>
      </x:c>
      <x:c r="I8" s="269" t="str">
        <x:v>On-site</x:v>
      </x:c>
      <x:c r="J8" s="269" t="str">
        <x:v>umowa o pracę</x:v>
      </x:c>
      <x:c r="K8" s="269" t="str">
        <x:v>Employment contract</x:v>
      </x:c>
      <x:c r="L8" s="269" t="str">
        <x:v>analityczne / dane</x:v>
      </x:c>
      <x:c r="M8" s="269" t="str">
        <x:v>Data analysis</x:v>
      </x:c>
      <x:c r="N8" s="269" t="str">
        <x:v>brak informacji</x:v>
      </x:c>
      <x:c r="O8" s="269" t="str">
        <x:v>brak informacji</x:v>
      </x:c>
      <x:c r="P8" s="269" t="str">
        <x:v>No</x:v>
      </x:c>
      <x:c r="Q8" s="269" t="str">
        <x:v>Verified</x:v>
      </x:c>
      <x:c r="R8" s="269" t="str">
        <x:v>https://www.pracuj.pl/praca/mlodszy-analityk-danych-k-m-bialystok%2Coferta%2C1004922237</x:v>
      </x:c>
      <x:c r="S8" s="270" t="str">
        <x:v>2026-07-09</x:v>
      </x:c>
      <x:c r="T8" s="269" t="str">
        <x:v>analiza danych</x:v>
      </x:c>
      <x:c r="U8" s="269" t="str">
        <x:v>junior, angielski</x:v>
      </x:c>
      <x:c r="V8" s="269" t="str">
        <x:v>pasuje – młodszy analityk danych</x:v>
      </x:c>
      <x:c r="W8" s="269" t="str">
        <x:v>zweryfikowana</x:v>
      </x:c>
      <x:c r="X8" s="269" t="str">
        <x:v>No</x:v>
      </x:c>
      <x:c r="Y8" s="269" t="str">
        <x:v>No</x:v>
      </x:c>
    </x:row>
    <x:row r="9">
      <x:c r="A9" s="269" t="str">
        <x:v>8</x:v>
      </x:c>
      <x:c r="B9" s="269" t="str">
        <x:v>Pracuj.pl</x:v>
      </x:c>
      <x:c r="C9" s="269" t="str">
        <x:v>Junior Data Analyst (Power BI) (K/M)</x:v>
      </x:c>
      <x:c r="D9" s="269" t="str">
        <x:v>IT SQUAD Sp. z o.o.</x:v>
      </x:c>
      <x:c r="E9" s="269" t="str">
        <x:v>Warszawa</x:v>
      </x:c>
      <x:c r="F9" s="269" t="str">
        <x:v>junior</x:v>
      </x:c>
      <x:c r="G9" s="269" t="str">
        <x:v>Junior / entry</x:v>
      </x:c>
      <x:c r="H9" s="269" t="str">
        <x:v>hybrydowa</x:v>
      </x:c>
      <x:c r="I9" s="269" t="str">
        <x:v>Hybrid</x:v>
      </x:c>
      <x:c r="J9" s="269" t="str">
        <x:v>umowa zlecenie / B2B</x:v>
      </x:c>
      <x:c r="K9" s="269" t="str">
        <x:v>Multiple options</x:v>
      </x:c>
      <x:c r="L9" s="269" t="str">
        <x:v>BI / analiza danych</x:v>
      </x:c>
      <x:c r="M9" s="269" t="str">
        <x:v>Reporting &amp; BI</x:v>
      </x:c>
      <x:c r="N9" s="269" t="str">
        <x:v>SQL, Excel, Power BI</x:v>
      </x:c>
      <x:c r="O9" s="269" t="str">
        <x:v>brak informacji</x:v>
      </x:c>
      <x:c r="P9" s="269" t="str">
        <x:v>No</x:v>
      </x:c>
      <x:c r="Q9" s="269" t="str">
        <x:v>Verified</x:v>
      </x:c>
      <x:c r="R9" s="269" t="str">
        <x:v>https://www.pracuj.pl/praca/junior-data-analyst-power-bi-k-m-warszawa%2Coferta%2C1004935491</x:v>
      </x:c>
      <x:c r="S9" s="270" t="str">
        <x:v>2026-07-09</x:v>
      </x:c>
      <x:c r="T9" s="269" t="str">
        <x:v>analiza danych, raportowanie, BI</x:v>
      </x:c>
      <x:c r="U9" s="269" t="str">
        <x:v>junior</x:v>
      </x:c>
      <x:c r="V9" s="269" t="str">
        <x:v>bardzo pasuje – Excel, SQL, Power BI</x:v>
      </x:c>
      <x:c r="W9" s="269" t="str">
        <x:v>zweryfikowana</x:v>
      </x:c>
      <x:c r="X9" s="269" t="str">
        <x:v>No</x:v>
      </x:c>
      <x:c r="Y9" s="269" t="str">
        <x:v>No</x:v>
      </x:c>
    </x:row>
    <x:row r="10">
      <x:c r="A10" s="269" t="str">
        <x:v>9</x:v>
      </x:c>
      <x:c r="B10" s="269" t="str">
        <x:v>Pracuj.pl</x:v>
      </x:c>
      <x:c r="C10" s="269" t="str">
        <x:v>Junior Group Purchasing Data Analyst (M/F/X)</x:v>
      </x:c>
      <x:c r="D10" s="269" t="str">
        <x:v>Eurofins GSC Poland Sp. z o.o.</x:v>
      </x:c>
      <x:c r="E10" s="269" t="str">
        <x:v>Katowice</x:v>
      </x:c>
      <x:c r="F10" s="269" t="str">
        <x:v>junior</x:v>
      </x:c>
      <x:c r="G10" s="269" t="str">
        <x:v>Junior / entry</x:v>
      </x:c>
      <x:c r="H10" s="269" t="str">
        <x:v>hybrydowa</x:v>
      </x:c>
      <x:c r="I10" s="269" t="str">
        <x:v>Hybrid</x:v>
      </x:c>
      <x:c r="J10" s="269" t="str">
        <x:v>umowa o pracę</x:v>
      </x:c>
      <x:c r="K10" s="269" t="str">
        <x:v>Employment contract</x:v>
      </x:c>
      <x:c r="L10" s="269" t="str">
        <x:v>analityczne / purchasing data</x:v>
      </x:c>
      <x:c r="M10" s="269" t="str">
        <x:v>Data analysis</x:v>
      </x:c>
      <x:c r="N10" s="269" t="str">
        <x:v>brak informacji</x:v>
      </x:c>
      <x:c r="O10" s="269" t="str">
        <x:v>brak informacji</x:v>
      </x:c>
      <x:c r="P10" s="269" t="str">
        <x:v>No</x:v>
      </x:c>
      <x:c r="Q10" s="269" t="str">
        <x:v>Verified</x:v>
      </x:c>
      <x:c r="R10" s="269" t="str">
        <x:v>https://www.pracuj.pl/praca/junior-group-purchasing-data-analyst-m-f-x-katowice-ksiedza-piotra-sciegiennego-3%2Coferta%2C1004954842</x:v>
      </x:c>
      <x:c r="S10" s="270" t="str">
        <x:v>2026-07-09</x:v>
      </x:c>
      <x:c r="T10" s="269" t="str">
        <x:v>analiza danych zakupowych</x:v>
      </x:c>
      <x:c r="U10" s="269" t="str">
        <x:v>junior</x:v>
      </x:c>
      <x:c r="V10" s="269" t="str">
        <x:v>pasuje – analiza danych w organizacji</x:v>
      </x:c>
      <x:c r="W10" s="269" t="str">
        <x:v>zweryfikowana</x:v>
      </x:c>
      <x:c r="X10" s="269" t="str">
        <x:v>No</x:v>
      </x:c>
      <x:c r="Y10" s="269" t="str">
        <x:v>No</x:v>
      </x:c>
    </x:row>
    <x:row r="11">
      <x:c r="A11" s="269" t="str">
        <x:v>10</x:v>
      </x:c>
      <x:c r="B11" s="269" t="str">
        <x:v>Pracuj.pl</x:v>
      </x:c>
      <x:c r="C11" s="269" t="str">
        <x:v>Młodszy Analityk Biznesowy (k/m)</x:v>
      </x:c>
      <x:c r="D11" s="269" t="str">
        <x:v>Salve Medica Sp. z o.o. Sp. k.</x:v>
      </x:c>
      <x:c r="E11" s="269" t="str">
        <x:v>Łódź</x:v>
      </x:c>
      <x:c r="F11" s="269" t="str">
        <x:v>junior</x:v>
      </x:c>
      <x:c r="G11" s="269" t="str">
        <x:v>Junior / entry</x:v>
      </x:c>
      <x:c r="H11" s="269" t="str">
        <x:v>stacjonarna</x:v>
      </x:c>
      <x:c r="I11" s="269" t="str">
        <x:v>On-site</x:v>
      </x:c>
      <x:c r="J11" s="269" t="str">
        <x:v>umowa o pracę</x:v>
      </x:c>
      <x:c r="K11" s="269" t="str">
        <x:v>Employment contract</x:v>
      </x:c>
      <x:c r="L11" s="269" t="str">
        <x:v>analityczne / biznesowe</x:v>
      </x:c>
      <x:c r="M11" s="269" t="str">
        <x:v>Business &amp; systems analysis</x:v>
      </x:c>
      <x:c r="N11" s="269" t="str">
        <x:v>brak informacji</x:v>
      </x:c>
      <x:c r="O11" s="269" t="str">
        <x:v>brak informacji</x:v>
      </x:c>
      <x:c r="P11" s="269" t="str">
        <x:v>No</x:v>
      </x:c>
      <x:c r="Q11" s="269" t="str">
        <x:v>Verified</x:v>
      </x:c>
      <x:c r="R11" s="269" t="str">
        <x:v>https://www.pracuj.pl/praca/mlodszy-analityk-biznesowy-k-m-lodz-szparagowa-10%2Coferta%2C1004956478</x:v>
      </x:c>
      <x:c r="S11" s="270" t="str">
        <x:v>2026-07-09</x:v>
      </x:c>
      <x:c r="T11" s="269" t="str">
        <x:v>analiza biznesowa, raporty, dane</x:v>
      </x:c>
      <x:c r="U11" s="269" t="str">
        <x:v>junior</x:v>
      </x:c>
      <x:c r="V11" s="269" t="str">
        <x:v>pasuje – analityka biznesowa i informacja organizacyjna</x:v>
      </x:c>
      <x:c r="W11" s="269" t="str">
        <x:v>zweryfikowana</x:v>
      </x:c>
      <x:c r="X11" s="269" t="str">
        <x:v>No</x:v>
      </x:c>
      <x:c r="Y11" s="269" t="str">
        <x:v>No</x:v>
      </x:c>
    </x:row>
    <x:row r="12">
      <x:c r="A12" s="269" t="str">
        <x:v>11</x:v>
      </x:c>
      <x:c r="B12" s="269" t="str">
        <x:v>Pracuj.pl</x:v>
      </x:c>
      <x:c r="C12" s="269" t="str">
        <x:v>Młodszy analityk/tester (k/m)</x:v>
      </x:c>
      <x:c r="D12" s="269" t="str">
        <x:v>autoDNA.pl</x:v>
      </x:c>
      <x:c r="E12" s="269" t="str">
        <x:v>Łódź</x:v>
      </x:c>
      <x:c r="F12" s="269" t="str">
        <x:v>junior</x:v>
      </x:c>
      <x:c r="G12" s="269" t="str">
        <x:v>Junior / entry</x:v>
      </x:c>
      <x:c r="H12" s="269" t="str">
        <x:v>stacjonarna</x:v>
      </x:c>
      <x:c r="I12" s="269" t="str">
        <x:v>On-site</x:v>
      </x:c>
      <x:c r="J12" s="269" t="str">
        <x:v>umowa o pracę / B2B</x:v>
      </x:c>
      <x:c r="K12" s="269" t="str">
        <x:v>Multiple options</x:v>
      </x:c>
      <x:c r="L12" s="269" t="str">
        <x:v>analityczne / testowanie / dane</x:v>
      </x:c>
      <x:c r="M12" s="269" t="str">
        <x:v>Data analysis</x:v>
      </x:c>
      <x:c r="N12" s="269" t="str">
        <x:v>SQL, MS Office, GitLab, Postman, BPMN, UML</x:v>
      </x:c>
      <x:c r="O12" s="269" t="str">
        <x:v>brak informacji</x:v>
      </x:c>
      <x:c r="P12" s="269" t="str">
        <x:v>No</x:v>
      </x:c>
      <x:c r="Q12" s="269" t="str">
        <x:v>Verified</x:v>
      </x:c>
      <x:c r="R12" s="269" t="str">
        <x:v>https://www.pracuj.pl/praca/mlodszy-analityk-tester-k-m-lodz-obywatelska-128-152%2Coferta%2C1004892470</x:v>
      </x:c>
      <x:c r="S12" s="270" t="str">
        <x:v>2026-07-09</x:v>
      </x:c>
      <x:c r="T12" s="269" t="str">
        <x:v>analiza danych pojazdów, dokumentacja, baza wiedzy, konfiguracja aplikacji</x:v>
      </x:c>
      <x:c r="U12" s="269" t="str">
        <x:v>SQL podstawowy, Excel, angielski B1</x:v>
      </x:c>
      <x:c r="V12" s="269" t="str">
        <x:v>bardzo pasuje – analiza danych, dokumentacja, baza wiedzy</x:v>
      </x:c>
      <x:c r="W12" s="269" t="str">
        <x:v>zweryfikowana</x:v>
      </x:c>
      <x:c r="X12" s="269" t="str">
        <x:v>No</x:v>
      </x:c>
      <x:c r="Y12" s="269" t="str">
        <x:v>No</x:v>
      </x:c>
    </x:row>
    <x:row r="13">
      <x:c r="A13" s="269" t="str">
        <x:v>12</x:v>
      </x:c>
      <x:c r="B13" s="269" t="str">
        <x:v>Pracuj.pl</x:v>
      </x:c>
      <x:c r="C13" s="269" t="str">
        <x:v>Młodszy Specjalista/Specjalista ds. Kalkulacji Ofert i Analiz Rynku (K/M)</x:v>
      </x:c>
      <x:c r="D13" s="269" t="str">
        <x:v>myORLEN sp. z o.o.</x:v>
      </x:c>
      <x:c r="E13" s="269" t="str">
        <x:v>Warszawa</x:v>
      </x:c>
      <x:c r="F13" s="269" t="str">
        <x:v>junior/mid</x:v>
      </x:c>
      <x:c r="G13" s="269" t="str">
        <x:v>Junior–Mid</x:v>
      </x:c>
      <x:c r="H13" s="269" t="str">
        <x:v>brak informacji</x:v>
      </x:c>
      <x:c r="I13" s="269" t="str">
        <x:v>Unknown</x:v>
      </x:c>
      <x:c r="J13" s="269" t="str">
        <x:v>brak informacji</x:v>
      </x:c>
      <x:c r="K13" s="269" t="str">
        <x:v>Unknown</x:v>
      </x:c>
      <x:c r="L13" s="269" t="str">
        <x:v>analizy rynku / raportowanie</x:v>
      </x:c>
      <x:c r="M13" s="269" t="str">
        <x:v>Reporting &amp; BI</x:v>
      </x:c>
      <x:c r="N13" s="269" t="str">
        <x:v>brak informacji</x:v>
      </x:c>
      <x:c r="O13" s="269" t="str">
        <x:v>brak informacji</x:v>
      </x:c>
      <x:c r="P13" s="269" t="str">
        <x:v>No</x:v>
      </x:c>
      <x:c r="Q13" s="269" t="str">
        <x:v>Verified</x:v>
      </x:c>
      <x:c r="R13" s="269" t="str">
        <x:v>https://www.pracuj.pl/praca/mlodszy-specjalista-specjalista-ds-kalkulacji-ofert-i-analiz-rynku-k-m-warszawa-jana-kazimierza-3%2Coferta%2C1004910029</x:v>
      </x:c>
      <x:c r="S13" s="270" t="str">
        <x:v>2026-07-09</x:v>
      </x:c>
      <x:c r="T13" s="269" t="str">
        <x:v>analizy rynku, kalkulacje, zestawienia</x:v>
      </x:c>
      <x:c r="U13" s="269" t="str">
        <x:v>junior/mid</x:v>
      </x:c>
      <x:c r="V13" s="269" t="str">
        <x:v>pasuje – analiza rynku i danych organizacyjnych</x:v>
      </x:c>
      <x:c r="W13" s="269" t="str">
        <x:v>zweryfikowana</x:v>
      </x:c>
      <x:c r="X13" s="269" t="str">
        <x:v>No</x:v>
      </x:c>
      <x:c r="Y13" s="269" t="str">
        <x:v>No</x:v>
      </x:c>
    </x:row>
    <x:row r="14">
      <x:c r="A14" s="269" t="str">
        <x:v>13</x:v>
      </x:c>
      <x:c r="B14" s="269" t="str">
        <x:v>Pracuj.pl</x:v>
      </x:c>
      <x:c r="C14" s="269" t="str">
        <x:v>Data Analyst / BI Analyst (Power BI + Excel)</x:v>
      </x:c>
      <x:c r="D14" s="269" t="str">
        <x:v>POLSKIE PRACOWNIE OPTYCZNE sp. z o.o.</x:v>
      </x:c>
      <x:c r="E14" s="269" t="str">
        <x:v>Warszawa</x:v>
      </x:c>
      <x:c r="F14" s="269" t="str">
        <x:v>mid/senior</x:v>
      </x:c>
      <x:c r="G14" s="269" t="str">
        <x:v>Mid+</x:v>
      </x:c>
      <x:c r="H14" s="269" t="str">
        <x:v>stacjonarna/hybrydowa</x:v>
      </x:c>
      <x:c r="I14" s="269" t="str">
        <x:v>Hybrid</x:v>
      </x:c>
      <x:c r="J14" s="269" t="str">
        <x:v>B2B</x:v>
      </x:c>
      <x:c r="K14" s="269" t="str">
        <x:v>B2B</x:v>
      </x:c>
      <x:c r="L14" s="269" t="str">
        <x:v>BI / dane</x:v>
      </x:c>
      <x:c r="M14" s="269" t="str">
        <x:v>Reporting &amp; BI</x:v>
      </x:c>
      <x:c r="N14" s="269" t="str">
        <x:v>Power BI, Excel</x:v>
      </x:c>
      <x:c r="O14" s="269" t="str">
        <x:v>brak informacji</x:v>
      </x:c>
      <x:c r="P14" s="269" t="str">
        <x:v>No</x:v>
      </x:c>
      <x:c r="Q14" s="269" t="str">
        <x:v>Verified</x:v>
      </x:c>
      <x:c r="R14" s="269" t="str">
        <x:v>https://www.pracuj.pl/praca/data-analyst-bi-analyst-power-bi-%2B-excel-warszawa-plac-marszalka-jozefa-pilsudskiego-2%2Coferta%2C1004898630</x:v>
      </x:c>
      <x:c r="S14" s="270" t="str">
        <x:v>2026-07-09</x:v>
      </x:c>
      <x:c r="T14" s="269" t="str">
        <x:v>analiza danych, BI, raportowanie</x:v>
      </x:c>
      <x:c r="U14" s="269" t="str">
        <x:v>mid/senior</x:v>
      </x:c>
      <x:c r="V14" s="269" t="str">
        <x:v>pasuje merytorycznie, ale poziom wyższy – ewentualnie porównawczo</x:v>
      </x:c>
      <x:c r="W14" s="269" t="str">
        <x:v>zweryfikowana – raczej nie jako główny junior</x:v>
      </x:c>
      <x:c r="X14" s="269" t="str">
        <x:v>No</x:v>
      </x:c>
      <x:c r="Y14" s="269" t="str">
        <x:v>No</x:v>
      </x:c>
    </x:row>
    <x:row r="15">
      <x:c r="A15" s="269" t="str">
        <x:v>14</x:v>
      </x:c>
      <x:c r="B15" s="269" t="str">
        <x:v>Pracuj.pl</x:v>
      </x:c>
      <x:c r="C15" s="269" t="str">
        <x:v>Staż w dziale Master Data</x:v>
      </x:c>
      <x:c r="D15" s="269" t="str">
        <x:v>Stock Polska Sp. z o.o.</x:v>
      </x:c>
      <x:c r="E15" s="269" t="str">
        <x:v>Lublin</x:v>
      </x:c>
      <x:c r="F15" s="269" t="str">
        <x:v>staż</x:v>
      </x:c>
      <x:c r="G15" s="269" t="str">
        <x:v>Junior / entry</x:v>
      </x:c>
      <x:c r="H15" s="269" t="str">
        <x:v>stacjonarna</x:v>
      </x:c>
      <x:c r="I15" s="269" t="str">
        <x:v>On-site</x:v>
      </x:c>
      <x:c r="J15" s="269" t="str">
        <x:v>staż / praktyka</x:v>
      </x:c>
      <x:c r="K15" s="269" t="str">
        <x:v>Internship / placement</x:v>
      </x:c>
      <x:c r="L15" s="269" t="str">
        <x:v>master data / dane podstawowe</x:v>
      </x:c>
      <x:c r="M15" s="269" t="str">
        <x:v>Data governance &amp; quality</x:v>
      </x:c>
      <x:c r="N15" s="269" t="str">
        <x:v>brak informacji</x:v>
      </x:c>
      <x:c r="O15" s="269" t="str">
        <x:v>31,50 zł brutto/godz.</x:v>
      </x:c>
      <x:c r="P15" s="269" t="str">
        <x:v>Yes</x:v>
      </x:c>
      <x:c r="Q15" s="269" t="str">
        <x:v>Verified</x:v>
      </x:c>
      <x:c r="R15" s="269" t="str">
        <x:v>https://www.pracuj.pl/praca/staz-w-dziale-master-data-lublin%2Coferta%2C1004923641</x:v>
      </x:c>
      <x:c r="S15" s="270" t="str">
        <x:v>2026-07-09</x:v>
      </x:c>
      <x:c r="T15" s="269" t="str">
        <x:v>praca z danymi podstawowymi, wsparcie działu</x:v>
      </x:c>
      <x:c r="U15" s="269" t="str">
        <x:v>staż</x:v>
      </x:c>
      <x:c r="V15" s="269" t="str">
        <x:v>bardzo pasuje – poziom wejścia i master data</x:v>
      </x:c>
      <x:c r="W15" s="269" t="str">
        <x:v>zweryfikowana</x:v>
      </x:c>
      <x:c r="X15" s="269" t="str">
        <x:v>No</x:v>
      </x:c>
      <x:c r="Y15" s="269" t="str">
        <x:v>No</x:v>
      </x:c>
    </x:row>
    <x:row r="16">
      <x:c r="A16" s="269" t="str">
        <x:v>15</x:v>
      </x:c>
      <x:c r="B16" s="269" t="str">
        <x:v>Pracuj.pl</x:v>
      </x:c>
      <x:c r="C16" s="269" t="str">
        <x:v>HR Data Analyst</x:v>
      </x:c>
      <x:c r="D16" s="269" t="str">
        <x:v>KPMG</x:v>
      </x:c>
      <x:c r="E16" s="269" t="str">
        <x:v>Warszawa</x:v>
      </x:c>
      <x:c r="F16" s="269" t="str">
        <x:v>mid</x:v>
      </x:c>
      <x:c r="G16" s="269" t="str">
        <x:v>Mid+</x:v>
      </x:c>
      <x:c r="H16" s="269" t="str">
        <x:v>hybrydowa</x:v>
      </x:c>
      <x:c r="I16" s="269" t="str">
        <x:v>Hybrid</x:v>
      </x:c>
      <x:c r="J16" s="269" t="str">
        <x:v>umowa o pracę / zastępstwo</x:v>
      </x:c>
      <x:c r="K16" s="269" t="str">
        <x:v>Employment contract</x:v>
      </x:c>
      <x:c r="L16" s="269" t="str">
        <x:v>HR analytics</x:v>
      </x:c>
      <x:c r="M16" s="269" t="str">
        <x:v>Data analysis</x:v>
      </x:c>
      <x:c r="N16" s="269" t="str">
        <x:v>brak informacji</x:v>
      </x:c>
      <x:c r="O16" s="269" t="str">
        <x:v>brak informacji</x:v>
      </x:c>
      <x:c r="P16" s="269" t="str">
        <x:v>No</x:v>
      </x:c>
      <x:c r="Q16" s="269" t="str">
        <x:v>Verified</x:v>
      </x:c>
      <x:c r="R16" s="269" t="str">
        <x:v>https://www.pracuj.pl/praca/hr-data-analyst-warszawa-ulica-inflancka-4a%2Coferta%2C1004898652</x:v>
      </x:c>
      <x:c r="S16" s="270" t="str">
        <x:v>2026-07-09</x:v>
      </x:c>
      <x:c r="T16" s="269" t="str">
        <x:v>analiza danych HR, raportowanie</x:v>
      </x:c>
      <x:c r="U16" s="269" t="str">
        <x:v>mid</x:v>
      </x:c>
      <x:c r="V16" s="269" t="str">
        <x:v>pasuje merytorycznie, ale niekoniecznie junior</x:v>
      </x:c>
      <x:c r="W16" s="269" t="str">
        <x:v>zweryfikowana – porównawczo</x:v>
      </x:c>
      <x:c r="X16" s="269" t="str">
        <x:v>No</x:v>
      </x:c>
      <x:c r="Y16" s="269" t="str">
        <x:v>No</x:v>
      </x:c>
    </x:row>
    <x:row r="17">
      <x:c r="A17" s="269" t="str">
        <x:v>16</x:v>
      </x:c>
      <x:c r="B17" s="269" t="str">
        <x:v>Pracuj.pl</x:v>
      </x:c>
      <x:c r="C17" s="269" t="str">
        <x:v>Młodszy Specjalista ds. Dokumentacji Transakcyjnej (k/m)</x:v>
      </x:c>
      <x:c r="D17" s="269" t="str">
        <x:v>LipCo Foods International</x:v>
      </x:c>
      <x:c r="E17" s="269" t="str">
        <x:v>Lublin</x:v>
      </x:c>
      <x:c r="F17" s="269" t="str">
        <x:v>junior</x:v>
      </x:c>
      <x:c r="G17" s="269" t="str">
        <x:v>Junior / entry</x:v>
      </x:c>
      <x:c r="H17" s="269" t="str">
        <x:v>stacjonarna</x:v>
      </x:c>
      <x:c r="I17" s="269" t="str">
        <x:v>On-site</x:v>
      </x:c>
      <x:c r="J17" s="269" t="str">
        <x:v>umowa o pracę</x:v>
      </x:c>
      <x:c r="K17" s="269" t="str">
        <x:v>Employment contract</x:v>
      </x:c>
      <x:c r="L17" s="269" t="str">
        <x:v>dokumentacja / przetwarzanie danych</x:v>
      </x:c>
      <x:c r="M17" s="269" t="str">
        <x:v>Information &amp; documentation</x:v>
      </x:c>
      <x:c r="N17" s="269" t="str">
        <x:v>brak informacji</x:v>
      </x:c>
      <x:c r="O17" s="269" t="str">
        <x:v>brak informacji</x:v>
      </x:c>
      <x:c r="P17" s="269" t="str">
        <x:v>No</x:v>
      </x:c>
      <x:c r="Q17" s="269" t="str">
        <x:v>Verified</x:v>
      </x:c>
      <x:c r="R17" s="269" t="str">
        <x:v>https://www.pracuj.pl/praca/mlodszy-specjalista-ds-dokumentacji-transakcyjnej-k-m-lublin-zimna-2%2Coferta%2C1004938600</x:v>
      </x:c>
      <x:c r="S17" s="270" t="str">
        <x:v>2026-07-09</x:v>
      </x:c>
      <x:c r="T17" s="269" t="str">
        <x:v>dokumentacja transakcyjna, obieg informacji</x:v>
      </x:c>
      <x:c r="U17" s="269" t="str">
        <x:v>junior</x:v>
      </x:c>
      <x:c r="V17" s="269" t="str">
        <x:v>pasuje – dokumentacja i informacja organizacyjna</x:v>
      </x:c>
      <x:c r="W17" s="269" t="str">
        <x:v>zweryfikowana</x:v>
      </x:c>
      <x:c r="X17" s="269" t="str">
        <x:v>No</x:v>
      </x:c>
      <x:c r="Y17" s="269" t="str">
        <x:v>No</x:v>
      </x:c>
    </x:row>
    <x:row r="18">
      <x:c r="A18" s="269" t="str">
        <x:v>17</x:v>
      </x:c>
      <x:c r="B18" s="269" t="str">
        <x:v>RocketJobs</x:v>
      </x:c>
      <x:c r="C18" s="269" t="str">
        <x:v>Młodszy Analityk / Młodsza Analityczka w dziale QRS (Quality, Risk &amp; Security)</x:v>
      </x:c>
      <x:c r="D18" s="269" t="str">
        <x:v>Deloitte Business Delivery Solutions</x:v>
      </x:c>
      <x:c r="E18" s="269" t="str">
        <x:v>Rzeszów</x:v>
      </x:c>
      <x:c r="F18" s="269" t="str">
        <x:v>junior</x:v>
      </x:c>
      <x:c r="G18" s="269" t="str">
        <x:v>Junior / entry</x:v>
      </x:c>
      <x:c r="H18" s="269" t="str">
        <x:v>brak informacji</x:v>
      </x:c>
      <x:c r="I18" s="269" t="str">
        <x:v>Unknown</x:v>
      </x:c>
      <x:c r="J18" s="269" t="str">
        <x:v>brak informacji</x:v>
      </x:c>
      <x:c r="K18" s="269" t="str">
        <x:v>Unknown</x:v>
      </x:c>
      <x:c r="L18" s="269" t="str">
        <x:v>analityczne / risk / quality</x:v>
      </x:c>
      <x:c r="M18" s="269" t="str">
        <x:v>Data analysis</x:v>
      </x:c>
      <x:c r="N18" s="269" t="str">
        <x:v>Excel, MS Office</x:v>
      </x:c>
      <x:c r="O18" s="269" t="str">
        <x:v>brak informacji</x:v>
      </x:c>
      <x:c r="P18" s="269" t="str">
        <x:v>No</x:v>
      </x:c>
      <x:c r="Q18" s="269" t="str">
        <x:v>Verified</x:v>
      </x:c>
      <x:c r="R18" s="269" t="str">
        <x:v>https://rocketjobs.pl/oferta-pracy/deloitte-business-delivery-solutions-mlodszy-analityk-mlodsza-analityczka-w-dziale-qrs-quality-risk-security--rzeszow-bi-data</x:v>
      </x:c>
      <x:c r="S18" s="270" t="str">
        <x:v>2026-07-09</x:v>
      </x:c>
      <x:c r="T18" s="269" t="str">
        <x:v>analiza, jakość, ryzyko, bezpieczeństwo</x:v>
      </x:c>
      <x:c r="U18" s="269" t="str">
        <x:v>wykształcenie wyższe</x:v>
      </x:c>
      <x:c r="V18" s="269" t="str">
        <x:v>pasuje – analiza informacji, jakość, ryzyko</x:v>
      </x:c>
      <x:c r="W18" s="269" t="str">
        <x:v>zweryfikowana</x:v>
      </x:c>
      <x:c r="X18" s="269" t="str">
        <x:v>No</x:v>
      </x:c>
      <x:c r="Y18" s="269" t="str">
        <x:v>No</x:v>
      </x:c>
    </x:row>
    <x:row r="19">
      <x:c r="A19" s="269" t="str">
        <x:v>18</x:v>
      </x:c>
      <x:c r="B19" s="269" t="str">
        <x:v>Pracuj.pl</x:v>
      </x:c>
      <x:c r="C19" s="269" t="str">
        <x:v>Młodsza/Młodszy Specjalista ds. Strategii i Projektów (obszar analiz biznesowych)</x:v>
      </x:c>
      <x:c r="D19" s="269" t="str">
        <x:v>MPWiK w m.st. Warszawie S.A.</x:v>
      </x:c>
      <x:c r="E19" s="269" t="str">
        <x:v>Warszawa</x:v>
      </x:c>
      <x:c r="F19" s="269" t="str">
        <x:v>junior/mid</x:v>
      </x:c>
      <x:c r="G19" s="269" t="str">
        <x:v>Junior–Mid</x:v>
      </x:c>
      <x:c r="H19" s="269" t="str">
        <x:v>stacjonarna</x:v>
      </x:c>
      <x:c r="I19" s="269" t="str">
        <x:v>On-site</x:v>
      </x:c>
      <x:c r="J19" s="269" t="str">
        <x:v>umowa o pracę</x:v>
      </x:c>
      <x:c r="K19" s="269" t="str">
        <x:v>Employment contract</x:v>
      </x:c>
      <x:c r="L19" s="269" t="str">
        <x:v>analizy biznesowe / strategia</x:v>
      </x:c>
      <x:c r="M19" s="269" t="str">
        <x:v>Business &amp; systems analysis</x:v>
      </x:c>
      <x:c r="N19" s="269" t="str">
        <x:v>MS Office, Excel, PowerPoint</x:v>
      </x:c>
      <x:c r="O19" s="269" t="str">
        <x:v>5 800–8 000 zł brutto/mies. dla młodszego specjalisty</x:v>
      </x:c>
      <x:c r="P19" s="269" t="str">
        <x:v>Yes</x:v>
      </x:c>
      <x:c r="Q19" s="269" t="str">
        <x:v>Verified</x:v>
      </x:c>
      <x:c r="R19" s="269" t="str">
        <x:v>https://www.pracuj.pl/praca/mlodsza-starsza-specjalistka-mlodszy-starszy-specjalista-ds-strategii-i-projekto-warszawa-czerniakowska-124%2Coferta%2C1004956310</x:v>
      </x:c>
      <x:c r="S19" s="270" t="str">
        <x:v>2026-07-09</x:v>
      </x:c>
      <x:c r="T19" s="269" t="str">
        <x:v>analizy strategiczne, raporty, dane w systemach, sprawozdania</x:v>
      </x:c>
      <x:c r="U19" s="269" t="str">
        <x:v>min. 1 rok preferowany</x:v>
      </x:c>
      <x:c r="V19" s="269" t="str">
        <x:v>pasuje – raportowanie, analiza, systemy, dane</x:v>
      </x:c>
      <x:c r="W19" s="269" t="str">
        <x:v>zweryfikowana</x:v>
      </x:c>
      <x:c r="X19" s="269" t="str">
        <x:v>No</x:v>
      </x:c>
      <x:c r="Y19" s="269" t="str">
        <x:v>No</x:v>
      </x:c>
    </x:row>
    <x:row r="20">
      <x:c r="A20" s="269" t="str">
        <x:v>19</x:v>
      </x:c>
      <x:c r="B20" s="269" t="str">
        <x:v>Pracuj.pl</x:v>
      </x:c>
      <x:c r="C20" s="269" t="str">
        <x:v>Młodszy Kierownik Projektu / Analityk IT (k/m/os.)</x:v>
      </x:c>
      <x:c r="D20" s="269" t="str">
        <x:v>ASSECO DATA SYSTEMS S.A.</x:v>
      </x:c>
      <x:c r="E20" s="269" t="str">
        <x:v>Szczecin</x:v>
      </x:c>
      <x:c r="F20" s="269" t="str">
        <x:v>junior / koordynator</x:v>
      </x:c>
      <x:c r="G20" s="269" t="str">
        <x:v>Junior–Mid</x:v>
      </x:c>
      <x:c r="H20" s="269" t="str">
        <x:v>hybrydowa</x:v>
      </x:c>
      <x:c r="I20" s="269" t="str">
        <x:v>Hybrid</x:v>
      </x:c>
      <x:c r="J20" s="269" t="str">
        <x:v>umowa o pracę</x:v>
      </x:c>
      <x:c r="K20" s="269" t="str">
        <x:v>Employment contract</x:v>
      </x:c>
      <x:c r="L20" s="269" t="str">
        <x:v>analiza IT / projekty</x:v>
      </x:c>
      <x:c r="M20" s="269" t="str">
        <x:v>Business &amp; systems analysis</x:v>
      </x:c>
      <x:c r="N20" s="269" t="str">
        <x:v>brak informacji</x:v>
      </x:c>
      <x:c r="O20" s="269" t="str">
        <x:v>brak informacji</x:v>
      </x:c>
      <x:c r="P20" s="269" t="str">
        <x:v>No</x:v>
      </x:c>
      <x:c r="Q20" s="269" t="str">
        <x:v>Verified</x:v>
      </x:c>
      <x:c r="R20" s="269" t="str">
        <x:v>https://www.pracuj.pl/praca/mlodszy-kierownik-projektu-analityk-it-k-m-os-szczecin-krolowej-korony-polskiej-21%2Coferta%2C1004913881</x:v>
      </x:c>
      <x:c r="S20" s="270" t="str">
        <x:v>2026-07-09</x:v>
      </x:c>
      <x:c r="T20" s="269" t="str">
        <x:v>analiza IT, koordynacja informacji projektowej</x:v>
      </x:c>
      <x:c r="U20" s="269" t="str">
        <x:v>brak informacji</x:v>
      </x:c>
      <x:c r="V20" s="269" t="str">
        <x:v>pasuje częściowo – analiza IT i informacja projektowa</x:v>
      </x:c>
      <x:c r="W20" s="269" t="str">
        <x:v>zweryfikowana</x:v>
      </x:c>
      <x:c r="X20" s="269" t="str">
        <x:v>No</x:v>
      </x:c>
      <x:c r="Y20" s="269" t="str">
        <x:v>No</x:v>
      </x:c>
    </x:row>
    <x:row r="21">
      <x:c r="A21" s="269" t="str">
        <x:v>20</x:v>
      </x:c>
      <x:c r="B21" s="269" t="str">
        <x:v>Pracuj.pl</x:v>
      </x:c>
      <x:c r="C21" s="269" t="str">
        <x:v>Junior Revenue Analyst (K/M) Data &amp; Pricing Hospitality / Młodszy Analityk Przychodów</x:v>
      </x:c>
      <x:c r="D21" s="269" t="str">
        <x:v>FOREST MIĘDZYZDROJE sp. z o.o.</x:v>
      </x:c>
      <x:c r="E21" s="269" t="str">
        <x:v>Międzyzdroje</x:v>
      </x:c>
      <x:c r="F21" s="269" t="str">
        <x:v>junior</x:v>
      </x:c>
      <x:c r="G21" s="269" t="str">
        <x:v>Junior / entry</x:v>
      </x:c>
      <x:c r="H21" s="269" t="str">
        <x:v>brak informacji</x:v>
      </x:c>
      <x:c r="I21" s="269" t="str">
        <x:v>Unknown</x:v>
      </x:c>
      <x:c r="J21" s="269" t="str">
        <x:v>brak informacji</x:v>
      </x:c>
      <x:c r="K21" s="269" t="str">
        <x:v>Unknown</x:v>
      </x:c>
      <x:c r="L21" s="269" t="str">
        <x:v>revenue/data/pricing</x:v>
      </x:c>
      <x:c r="M21" s="269" t="str">
        <x:v>Data analysis</x:v>
      </x:c>
      <x:c r="N21" s="269" t="str">
        <x:v>brak informacji</x:v>
      </x:c>
      <x:c r="O21" s="269" t="str">
        <x:v>brak informacji</x:v>
      </x:c>
      <x:c r="P21" s="269" t="str">
        <x:v>No</x:v>
      </x:c>
      <x:c r="Q21" s="269" t="str">
        <x:v>Verified</x:v>
      </x:c>
      <x:c r="R21" s="269" t="str">
        <x:v>https://www.pracuj.pl/praca/junior-revenue-analyst-k-m-data-pricing-hospitality-mlodszy-analityk-przychodow-miedzyzdroje-ustronie-lesne-13%2Coferta%2C1004893803</x:v>
      </x:c>
      <x:c r="S21" s="270" t="str">
        <x:v>2026-07-09</x:v>
      </x:c>
      <x:c r="T21" s="269" t="str">
        <x:v>analiza przychodów, dane, polityka cenowa</x:v>
      </x:c>
      <x:c r="U21" s="269" t="str">
        <x:v>junior</x:v>
      </x:c>
      <x:c r="V21" s="269" t="str">
        <x:v>pasuje – analiza danych i polityka cenowa</x:v>
      </x:c>
      <x:c r="W21" s="269" t="str">
        <x:v>zweryfikowana</x:v>
      </x:c>
      <x:c r="X21" s="269" t="str">
        <x:v>No</x:v>
      </x:c>
      <x:c r="Y21" s="269" t="str">
        <x:v>No</x:v>
      </x:c>
    </x:row>
    <x:row r="22">
      <x:c r="A22" s="269" t="str">
        <x:v>21</x:v>
      </x:c>
      <x:c r="B22" s="269" t="str">
        <x:v>Pracuj.pl</x:v>
      </x:c>
      <x:c r="C22" s="269" t="str">
        <x:v>Analityk / Analityczka (Sprzedaż, CRM, Rynek)</x:v>
      </x:c>
      <x:c r="D22" s="269" t="str">
        <x:v>Human Group</x:v>
      </x:c>
      <x:c r="E22" s="269" t="str">
        <x:v>Cała Polska / zdalnie</x:v>
      </x:c>
      <x:c r="F22" s="269" t="str">
        <x:v>mid</x:v>
      </x:c>
      <x:c r="G22" s="269" t="str">
        <x:v>Mid+</x:v>
      </x:c>
      <x:c r="H22" s="269" t="str">
        <x:v>zdalna</x:v>
      </x:c>
      <x:c r="I22" s="269" t="str">
        <x:v>Remote</x:v>
      </x:c>
      <x:c r="J22" s="269" t="str">
        <x:v>B2B</x:v>
      </x:c>
      <x:c r="K22" s="269" t="str">
        <x:v>B2B</x:v>
      </x:c>
      <x:c r="L22" s="269" t="str">
        <x:v>CRM / analiza rynku</x:v>
      </x:c>
      <x:c r="M22" s="269" t="str">
        <x:v>Business &amp; systems analysis</x:v>
      </x:c>
      <x:c r="N22" s="269" t="str">
        <x:v>brak informacji</x:v>
      </x:c>
      <x:c r="O22" s="269" t="str">
        <x:v>11 000–16 000 zł netto + VAT/mies.</x:v>
      </x:c>
      <x:c r="P22" s="269" t="str">
        <x:v>Yes</x:v>
      </x:c>
      <x:c r="Q22" s="269" t="str">
        <x:v>Verified</x:v>
      </x:c>
      <x:c r="R22" s="269" t="str">
        <x:v>https://www.pracuj.pl/praca/analityk-analityczka-sprzedaz-crm-rynek-warszawa%2Coferta%2C1004924123</x:v>
      </x:c>
      <x:c r="S22" s="270" t="str">
        <x:v>2026-07-09</x:v>
      </x:c>
      <x:c r="T22" s="269" t="str">
        <x:v>CRM, sprzedaż, rynek, analiza danych</x:v>
      </x:c>
      <x:c r="U22" s="269" t="str">
        <x:v>mid</x:v>
      </x:c>
      <x:c r="V22" s="269" t="str">
        <x:v>pasuje merytorycznie, ale nie junior</x:v>
      </x:c>
      <x:c r="W22" s="269" t="str">
        <x:v>zweryfikowana – porównawczo</x:v>
      </x:c>
      <x:c r="X22" s="269" t="str">
        <x:v>No</x:v>
      </x:c>
      <x:c r="Y22" s="269" t="str">
        <x:v>No</x:v>
      </x:c>
    </x:row>
    <x:row r="23">
      <x:c r="A23" s="269" t="str">
        <x:v>22</x:v>
      </x:c>
      <x:c r="B23" s="269" t="str">
        <x:v>Pracuj.pl</x:v>
      </x:c>
      <x:c r="C23" s="269" t="str">
        <x:v>Analityk Biznesowy / Analityczka Biznesowa</x:v>
      </x:c>
      <x:c r="D23" s="269" t="str">
        <x:v>ProService Finteco Sp. z o.o.</x:v>
      </x:c>
      <x:c r="E23" s="269" t="str">
        <x:v>Cała Polska / zdalnie</x:v>
      </x:c>
      <x:c r="F23" s="269" t="str">
        <x:v>mid/senior</x:v>
      </x:c>
      <x:c r="G23" s="269" t="str">
        <x:v>Mid+</x:v>
      </x:c>
      <x:c r="H23" s="269" t="str">
        <x:v>zdalna/hybrydowa</x:v>
      </x:c>
      <x:c r="I23" s="269" t="str">
        <x:v>Hybrid</x:v>
      </x:c>
      <x:c r="J23" s="269" t="str">
        <x:v>umowa o pracę</x:v>
      </x:c>
      <x:c r="K23" s="269" t="str">
        <x:v>Employment contract</x:v>
      </x:c>
      <x:c r="L23" s="269" t="str">
        <x:v>analiza biznesowa</x:v>
      </x:c>
      <x:c r="M23" s="269" t="str">
        <x:v>Business &amp; systems analysis</x:v>
      </x:c>
      <x:c r="N23" s="269" t="str">
        <x:v>brak informacji</x:v>
      </x:c>
      <x:c r="O23" s="269" t="str">
        <x:v>brak informacji</x:v>
      </x:c>
      <x:c r="P23" s="269" t="str">
        <x:v>No</x:v>
      </x:c>
      <x:c r="Q23" s="269" t="str">
        <x:v>Verified</x:v>
      </x:c>
      <x:c r="R23" s="269" t="str">
        <x:v>https://www.pracuj.pl/praca/analityk-biznesowy-analityczka-biznesowa-warszawa-konstruktorska-12a%2Coferta%2C1004956211</x:v>
      </x:c>
      <x:c r="S23" s="270" t="str">
        <x:v>2026-07-09</x:v>
      </x:c>
      <x:c r="T23" s="269" t="str">
        <x:v>analiza biznesowa, procesy, informacja organizacyjna</x:v>
      </x:c>
      <x:c r="U23" s="269" t="str">
        <x:v>mid/senior</x:v>
      </x:c>
      <x:c r="V23" s="269" t="str">
        <x:v>pasuje merytorycznie, ale raczej nie entry-level</x:v>
      </x:c>
      <x:c r="W23" s="269" t="str">
        <x:v>zweryfikowana – porównawczo</x:v>
      </x:c>
      <x:c r="X23" s="269" t="str">
        <x:v>No</x:v>
      </x:c>
      <x:c r="Y23" s="269" t="str">
        <x:v>No</x:v>
      </x:c>
    </x:row>
    <x:row r="24">
      <x:c r="A24" s="269" t="str">
        <x:v>23</x:v>
      </x:c>
      <x:c r="B24" s="269" t="str">
        <x:v>Pracuj.pl</x:v>
      </x:c>
      <x:c r="C24" s="269" t="str">
        <x:v>Analityk systemowy (K/M)</x:v>
      </x:c>
      <x:c r="D24" s="269" t="str">
        <x:v>CodeTalent Sp. z o.o.</x:v>
      </x:c>
      <x:c r="E24" s="269" t="str">
        <x:v>Warszawa</x:v>
      </x:c>
      <x:c r="F24" s="269" t="str">
        <x:v>mid</x:v>
      </x:c>
      <x:c r="G24" s="269" t="str">
        <x:v>Mid+</x:v>
      </x:c>
      <x:c r="H24" s="269" t="str">
        <x:v>stacjonarna</x:v>
      </x:c>
      <x:c r="I24" s="269" t="str">
        <x:v>On-site</x:v>
      </x:c>
      <x:c r="J24" s="269" t="str">
        <x:v>umowa o pracę / B2B</x:v>
      </x:c>
      <x:c r="K24" s="269" t="str">
        <x:v>Multiple options</x:v>
      </x:c>
      <x:c r="L24" s="269" t="str">
        <x:v>analiza systemowa</x:v>
      </x:c>
      <x:c r="M24" s="269" t="str">
        <x:v>Business &amp; systems analysis</x:v>
      </x:c>
      <x:c r="N24" s="269" t="str">
        <x:v>brak informacji</x:v>
      </x:c>
      <x:c r="O24" s="269" t="str">
        <x:v>brak informacji</x:v>
      </x:c>
      <x:c r="P24" s="269" t="str">
        <x:v>No</x:v>
      </x:c>
      <x:c r="Q24" s="269" t="str">
        <x:v>Verified</x:v>
      </x:c>
      <x:c r="R24" s="269" t="str">
        <x:v>https://www.pracuj.pl/praca/analityk-systemowy-k-m-warszawa-marcina-kasprzaka-31%2Coferta%2C1004923615</x:v>
      </x:c>
      <x:c r="S24" s="270" t="str">
        <x:v>2026-07-09</x:v>
      </x:c>
      <x:c r="T24" s="269" t="str">
        <x:v>analiza systemowa, wymagania, procesy</x:v>
      </x:c>
      <x:c r="U24" s="269" t="str">
        <x:v>mid</x:v>
      </x:c>
      <x:c r="V24" s="269" t="str">
        <x:v>pasuje merytorycznie, ale nie junior</x:v>
      </x:c>
      <x:c r="W24" s="269" t="str">
        <x:v>zweryfikowana – porównawczo</x:v>
      </x:c>
      <x:c r="X24" s="269" t="str">
        <x:v>No</x:v>
      </x:c>
      <x:c r="Y24" s="269" t="str">
        <x:v>No</x:v>
      </x:c>
    </x:row>
    <x:row r="25">
      <x:c r="A25" s="269" t="str">
        <x:v>24</x:v>
      </x:c>
      <x:c r="B25" s="269" t="str">
        <x:v>Pracuj.pl</x:v>
      </x:c>
      <x:c r="C25" s="269" t="str">
        <x:v>Data Analyst</x:v>
      </x:c>
      <x:c r="D25" s="269" t="str">
        <x:v>Mindbox Sp. z o.o.</x:v>
      </x:c>
      <x:c r="E25" s="269" t="str">
        <x:v>Kraków</x:v>
      </x:c>
      <x:c r="F25" s="269" t="str">
        <x:v>mid</x:v>
      </x:c>
      <x:c r="G25" s="269" t="str">
        <x:v>Mid+</x:v>
      </x:c>
      <x:c r="H25" s="269" t="str">
        <x:v>brak informacji</x:v>
      </x:c>
      <x:c r="I25" s="269" t="str">
        <x:v>Unknown</x:v>
      </x:c>
      <x:c r="J25" s="269" t="str">
        <x:v>brak informacji</x:v>
      </x:c>
      <x:c r="K25" s="269" t="str">
        <x:v>Unknown</x:v>
      </x:c>
      <x:c r="L25" s="269" t="str">
        <x:v>data analyst</x:v>
      </x:c>
      <x:c r="M25" s="269" t="str">
        <x:v>Data analysis</x:v>
      </x:c>
      <x:c r="N25" s="269" t="str">
        <x:v>brak informacji</x:v>
      </x:c>
      <x:c r="O25" s="269" t="str">
        <x:v>brak informacji</x:v>
      </x:c>
      <x:c r="P25" s="269" t="str">
        <x:v>No</x:v>
      </x:c>
      <x:c r="Q25" s="269" t="str">
        <x:v>Verified</x:v>
      </x:c>
      <x:c r="R25" s="269" t="str">
        <x:v>https://www.pracuj.pl/praca/data-analyst-krakow%2Coferta%2C1004897445</x:v>
      </x:c>
      <x:c r="S25" s="270" t="str">
        <x:v>2026-07-09</x:v>
      </x:c>
      <x:c r="T25" s="269" t="str">
        <x:v>analiza danych</x:v>
      </x:c>
      <x:c r="U25" s="269" t="str">
        <x:v>mid</x:v>
      </x:c>
      <x:c r="V25" s="269" t="str">
        <x:v>pasuje merytorycznie, ale nie junior</x:v>
      </x:c>
      <x:c r="W25" s="269" t="str">
        <x:v>zweryfikowana – porównawczo</x:v>
      </x:c>
      <x:c r="X25" s="269" t="str">
        <x:v>No</x:v>
      </x:c>
      <x:c r="Y25" s="269" t="str">
        <x:v>No</x:v>
      </x:c>
    </x:row>
    <x:row r="26">
      <x:c r="A26" s="269" t="str">
        <x:v>25</x:v>
      </x:c>
      <x:c r="B26" s="269" t="str">
        <x:v>Pracuj.pl</x:v>
      </x:c>
      <x:c r="C26" s="269" t="str">
        <x:v>Specjalista ds. Dokumentacji Wdrożeniowej (K/M)</x:v>
      </x:c>
      <x:c r="D26" s="269" t="str">
        <x:v>Grupa VIRTU</x:v>
      </x:c>
      <x:c r="E26" s="269" t="str">
        <x:v>Zawiercie</x:v>
      </x:c>
      <x:c r="F26" s="269" t="str">
        <x:v>mid</x:v>
      </x:c>
      <x:c r="G26" s="269" t="str">
        <x:v>Mid+</x:v>
      </x:c>
      <x:c r="H26" s="269" t="str">
        <x:v>brak informacji</x:v>
      </x:c>
      <x:c r="I26" s="269" t="str">
        <x:v>Unknown</x:v>
      </x:c>
      <x:c r="J26" s="269" t="str">
        <x:v>brak informacji</x:v>
      </x:c>
      <x:c r="K26" s="269" t="str">
        <x:v>Unknown</x:v>
      </x:c>
      <x:c r="L26" s="269" t="str">
        <x:v>dokumentacja / wdrożenia</x:v>
      </x:c>
      <x:c r="M26" s="269" t="str">
        <x:v>Information &amp; documentation</x:v>
      </x:c>
      <x:c r="N26" s="269" t="str">
        <x:v>brak informacji</x:v>
      </x:c>
      <x:c r="O26" s="269" t="str">
        <x:v>brak informacji</x:v>
      </x:c>
      <x:c r="P26" s="269" t="str">
        <x:v>No</x:v>
      </x:c>
      <x:c r="Q26" s="269" t="str">
        <x:v>Verified</x:v>
      </x:c>
      <x:c r="R26" s="269" t="str">
        <x:v>https://www.pracuj.pl/praca/specjalista-ds-dokumentacji-wdrozeniowej-k-m-zawiercie-losnicka-35%2Coferta%2C1004953523</x:v>
      </x:c>
      <x:c r="S26" s="270" t="str">
        <x:v>2026-07-09</x:v>
      </x:c>
      <x:c r="T26" s="269" t="str">
        <x:v>dokumentacja wdrożeniowa, obieg informacji</x:v>
      </x:c>
      <x:c r="U26" s="269" t="str">
        <x:v>mid</x:v>
      </x:c>
      <x:c r="V26" s="269" t="str">
        <x:v>pasuje – dokumentacja i informacja organizacyjna</x:v>
      </x:c>
      <x:c r="W26" s="269" t="str">
        <x:v>zweryfikowana</x:v>
      </x:c>
      <x:c r="X26" s="269" t="str">
        <x:v>No</x:v>
      </x:c>
      <x:c r="Y26" s="269" t="str">
        <x:v>No</x:v>
      </x:c>
    </x:row>
    <x:row r="27">
      <x:c r="A27" s="269" t="str">
        <x:v>26</x:v>
      </x:c>
      <x:c r="B27" s="269" t="str">
        <x:v>Pracuj.pl</x:v>
      </x:c>
      <x:c r="C27" s="269" t="str">
        <x:v>Junior Business Analyst</x:v>
      </x:c>
      <x:c r="D27" s="269" t="str">
        <x:v>EPAM Systems</x:v>
      </x:c>
      <x:c r="E27" s="269" t="str">
        <x:v>Kraków / cała Polska zdalnie</x:v>
      </x:c>
      <x:c r="F27" s="269" t="str">
        <x:v>junior</x:v>
      </x:c>
      <x:c r="G27" s="269" t="str">
        <x:v>Junior / entry</x:v>
      </x:c>
      <x:c r="H27" s="269" t="str">
        <x:v>zdalna</x:v>
      </x:c>
      <x:c r="I27" s="269" t="str">
        <x:v>Remote</x:v>
      </x:c>
      <x:c r="J27" s="269" t="str">
        <x:v>umowa o pracę / B2B</x:v>
      </x:c>
      <x:c r="K27" s="269" t="str">
        <x:v>Multiple options</x:v>
      </x:c>
      <x:c r="L27" s="269" t="str">
        <x:v>analiza biznesowa / AI/ML</x:v>
      </x:c>
      <x:c r="M27" s="269" t="str">
        <x:v>Business &amp; systems analysis</x:v>
      </x:c>
      <x:c r="N27" s="269" t="str">
        <x:v>brak informacji</x:v>
      </x:c>
      <x:c r="O27" s="269" t="str">
        <x:v>brak informacji</x:v>
      </x:c>
      <x:c r="P27" s="269" t="str">
        <x:v>No</x:v>
      </x:c>
      <x:c r="Q27" s="269" t="str">
        <x:v>Archived direct record</x:v>
      </x:c>
      <x:c r="R27" s="269" t="str">
        <x:v>https://www.pracuj.pl/praca/junior-business-analyst-krakow-fabryczna-1a%2Coferta%2C1004721234</x:v>
      </x:c>
      <x:c r="S27" s="270" t="str">
        <x:v>2026-07-09</x:v>
      </x:c>
      <x:c r="T27" s="269" t="str">
        <x:v>analiza biznesowa</x:v>
      </x:c>
      <x:c r="U27" s="269" t="str">
        <x:v>junior</x:v>
      </x:c>
      <x:c r="V27" s="269" t="str">
        <x:v>pasuje – junior business analyst</x:v>
      </x:c>
      <x:c r="W27" s="269" t="str">
        <x:v>archiwalna/ wygasła wg źródła</x:v>
      </x:c>
      <x:c r="X27" s="269" t="str">
        <x:v>No</x:v>
      </x:c>
      <x:c r="Y27" s="269" t="str">
        <x:v>No</x:v>
      </x:c>
    </x:row>
    <x:row r="28">
      <x:c r="A28" s="269" t="str">
        <x:v>27</x:v>
      </x:c>
      <x:c r="B28" s="269" t="str">
        <x:v>Pracuj.pl</x:v>
      </x:c>
      <x:c r="C28" s="269" t="str">
        <x:v>Junior Reporting Analyst with Python (M/F/D)</x:v>
      </x:c>
      <x:c r="D28" s="269" t="str">
        <x:v>DSV GBS</x:v>
      </x:c>
      <x:c r="E28" s="269" t="str">
        <x:v>Warszawa</x:v>
      </x:c>
      <x:c r="F28" s="269" t="str">
        <x:v>junior</x:v>
      </x:c>
      <x:c r="G28" s="269" t="str">
        <x:v>Junior / entry</x:v>
      </x:c>
      <x:c r="H28" s="269" t="str">
        <x:v>hybrydowa</x:v>
      </x:c>
      <x:c r="I28" s="269" t="str">
        <x:v>Hybrid</x:v>
      </x:c>
      <x:c r="J28" s="269" t="str">
        <x:v>umowa o pracę</x:v>
      </x:c>
      <x:c r="K28" s="269" t="str">
        <x:v>Employment contract</x:v>
      </x:c>
      <x:c r="L28" s="269" t="str">
        <x:v>raportowanie / Python</x:v>
      </x:c>
      <x:c r="M28" s="269" t="str">
        <x:v>Reporting &amp; BI</x:v>
      </x:c>
      <x:c r="N28" s="269" t="str">
        <x:v>Python</x:v>
      </x:c>
      <x:c r="O28" s="269" t="str">
        <x:v>brak informacji</x:v>
      </x:c>
      <x:c r="P28" s="269" t="str">
        <x:v>No</x:v>
      </x:c>
      <x:c r="Q28" s="269" t="str">
        <x:v>Archived direct record</x:v>
      </x:c>
      <x:c r="R28" s="269" t="str">
        <x:v>https://www.pracuj.pl/praca/junior-reporting-analyst-with-python-m-f-d-warszawa-tasmowa-10%2Coferta%2C1004875941</x:v>
      </x:c>
      <x:c r="S28" s="270" t="str">
        <x:v>2026-07-09</x:v>
      </x:c>
      <x:c r="T28" s="269" t="str">
        <x:v>raportowanie, analiza danych, automatyzacja</x:v>
      </x:c>
      <x:c r="U28" s="269" t="str">
        <x:v>junior</x:v>
      </x:c>
      <x:c r="V28" s="269" t="str">
        <x:v>pasuje – raportowanie i narzędzia danych</x:v>
      </x:c>
      <x:c r="W28" s="269" t="str">
        <x:v>archiwalna/ wygasła 6 dni wg źródła</x:v>
      </x:c>
      <x:c r="X28" s="269" t="str">
        <x:v>No</x:v>
      </x:c>
      <x:c r="Y28" s="269" t="str">
        <x:v>No</x:v>
      </x:c>
    </x:row>
    <x:row r="29">
      <x:c r="A29" s="269" t="str">
        <x:v>28</x:v>
      </x:c>
      <x:c r="B29" s="269" t="str">
        <x:v>Pracuj.pl</x:v>
      </x:c>
      <x:c r="C29" s="269" t="str">
        <x:v>Junior Data Quality Analyst</x:v>
      </x:c>
      <x:c r="D29" s="269" t="str">
        <x:v>Docplanner Tech</x:v>
      </x:c>
      <x:c r="E29" s="269" t="str">
        <x:v>Warszawa</x:v>
      </x:c>
      <x:c r="F29" s="269" t="str">
        <x:v>junior</x:v>
      </x:c>
      <x:c r="G29" s="269" t="str">
        <x:v>Junior / entry</x:v>
      </x:c>
      <x:c r="H29" s="269" t="str">
        <x:v>brak informacji</x:v>
      </x:c>
      <x:c r="I29" s="269" t="str">
        <x:v>Unknown</x:v>
      </x:c>
      <x:c r="J29" s="269" t="str">
        <x:v>brak informacji</x:v>
      </x:c>
      <x:c r="K29" s="269" t="str">
        <x:v>Unknown</x:v>
      </x:c>
      <x:c r="L29" s="269" t="str">
        <x:v>data quality</x:v>
      </x:c>
      <x:c r="M29" s="269" t="str">
        <x:v>Data governance &amp; quality</x:v>
      </x:c>
      <x:c r="N29" s="269" t="str">
        <x:v>brak informacji</x:v>
      </x:c>
      <x:c r="O29" s="269" t="str">
        <x:v>brak informacji</x:v>
      </x:c>
      <x:c r="P29" s="269" t="str">
        <x:v>No</x:v>
      </x:c>
      <x:c r="Q29" s="269" t="str">
        <x:v>Archived direct record</x:v>
      </x:c>
      <x:c r="R29" s="269" t="str">
        <x:v>https://www.pracuj.pl/praca/junior-data-quality-analyst-warszawa%2Coferta%2C1001286076</x:v>
      </x:c>
      <x:c r="S29" s="270" t="str">
        <x:v>2026-07-09</x:v>
      </x:c>
      <x:c r="T29" s="269" t="str">
        <x:v>jakość danych, weryfikacja danych</x:v>
      </x:c>
      <x:c r="U29" s="269" t="str">
        <x:v>junior</x:v>
      </x:c>
      <x:c r="V29" s="269" t="str">
        <x:v>pasuje – jakość danych</x:v>
      </x:c>
      <x:c r="W29" s="269" t="str">
        <x:v>archiwalna</x:v>
      </x:c>
      <x:c r="X29" s="269" t="str">
        <x:v>No</x:v>
      </x:c>
      <x:c r="Y29" s="269" t="str">
        <x:v>No</x:v>
      </x:c>
    </x:row>
    <x:row r="30">
      <x:c r="A30" s="269" t="str">
        <x:v>29</x:v>
      </x:c>
      <x:c r="B30" s="269" t="str">
        <x:v>Pracuj.pl</x:v>
      </x:c>
      <x:c r="C30" s="269" t="str">
        <x:v>Junior Data Quality Assistant</x:v>
      </x:c>
      <x:c r="D30" s="269" t="str">
        <x:v>Devire</x:v>
      </x:c>
      <x:c r="E30" s="269" t="str">
        <x:v>Warszawa</x:v>
      </x:c>
      <x:c r="F30" s="269" t="str">
        <x:v>assistant/junior</x:v>
      </x:c>
      <x:c r="G30" s="269" t="str">
        <x:v>Junior / entry</x:v>
      </x:c>
      <x:c r="H30" s="269" t="str">
        <x:v>hybrydowa</x:v>
      </x:c>
      <x:c r="I30" s="269" t="str">
        <x:v>Hybrid</x:v>
      </x:c>
      <x:c r="J30" s="269" t="str">
        <x:v>umowa zlecenie</x:v>
      </x:c>
      <x:c r="K30" s="269" t="str">
        <x:v>Civil-law contract</x:v>
      </x:c>
      <x:c r="L30" s="269" t="str">
        <x:v>data quality / SAP</x:v>
      </x:c>
      <x:c r="M30" s="269" t="str">
        <x:v>Data governance &amp; quality</x:v>
      </x:c>
      <x:c r="N30" s="269" t="str">
        <x:v>SAP</x:v>
      </x:c>
      <x:c r="O30" s="269" t="str">
        <x:v>6 000–7 000 zł brutto/mies.</x:v>
      </x:c>
      <x:c r="P30" s="269" t="str">
        <x:v>Yes</x:v>
      </x:c>
      <x:c r="Q30" s="269" t="str">
        <x:v>Archived direct record</x:v>
      </x:c>
      <x:c r="R30" s="269" t="str">
        <x:v>https://www.pracuj.pl/praca/junior-data-quality-assistant-warszawa%2Coferta%2C1003493158</x:v>
      </x:c>
      <x:c r="S30" s="270" t="str">
        <x:v>2026-07-09</x:v>
      </x:c>
      <x:c r="T30" s="269" t="str">
        <x:v>jakość danych, projekt wdrożeniowy SAP</x:v>
      </x:c>
      <x:c r="U30" s="269" t="str">
        <x:v>studenci mile widziani</x:v>
      </x:c>
      <x:c r="V30" s="269" t="str">
        <x:v>bardzo pasuje – poziom wejścia, jakość danych</x:v>
      </x:c>
      <x:c r="W30" s="269" t="str">
        <x:v>archiwalna</x:v>
      </x:c>
      <x:c r="X30" s="269" t="str">
        <x:v>No</x:v>
      </x:c>
      <x:c r="Y30" s="269" t="str">
        <x:v>No</x:v>
      </x:c>
    </x:row>
    <x:row r="31">
      <x:c r="A31" s="269" t="str">
        <x:v>30</x:v>
      </x:c>
      <x:c r="B31" s="269" t="str">
        <x:v>Pracuj.pl</x:v>
      </x:c>
      <x:c r="C31" s="269" t="str">
        <x:v>Młodszy Specjalista ds. dokumentacji eksportowej</x:v>
      </x:c>
      <x:c r="D31" s="269" t="str">
        <x:v>Grupa Inter Cars</x:v>
      </x:c>
      <x:c r="E31" s="269" t="str">
        <x:v>Czosnów</x:v>
      </x:c>
      <x:c r="F31" s="269" t="str">
        <x:v>junior</x:v>
      </x:c>
      <x:c r="G31" s="269" t="str">
        <x:v>Junior / entry</x:v>
      </x:c>
      <x:c r="H31" s="269" t="str">
        <x:v>stacjonarna</x:v>
      </x:c>
      <x:c r="I31" s="269" t="str">
        <x:v>On-site</x:v>
      </x:c>
      <x:c r="J31" s="269" t="str">
        <x:v>umowa na zastępstwo</x:v>
      </x:c>
      <x:c r="K31" s="269" t="str">
        <x:v>Employment contract</x:v>
      </x:c>
      <x:c r="L31" s="269" t="str">
        <x:v>dokumentacja / dane</x:v>
      </x:c>
      <x:c r="M31" s="269" t="str">
        <x:v>Information &amp; documentation</x:v>
      </x:c>
      <x:c r="N31" s="269" t="str">
        <x:v>brak informacji</x:v>
      </x:c>
      <x:c r="O31" s="269" t="str">
        <x:v>brak informacji</x:v>
      </x:c>
      <x:c r="P31" s="269" t="str">
        <x:v>No</x:v>
      </x:c>
      <x:c r="Q31" s="269" t="str">
        <x:v>Archived direct record</x:v>
      </x:c>
      <x:c r="R31" s="269" t="str">
        <x:v>https://www.pracuj.pl/praca/mlodszy-specjalista-ds-dokumentacji-eksportowej-czosnow-pow-nowodworski-gdanska-15%2Coferta%2C1003839455</x:v>
      </x:c>
      <x:c r="S31" s="270" t="str">
        <x:v>2026-07-09</x:v>
      </x:c>
      <x:c r="T31" s="269" t="str">
        <x:v>dokumentacja eksportowa, przetwarzanie danych</x:v>
      </x:c>
      <x:c r="U31" s="269" t="str">
        <x:v>angielski, polski</x:v>
      </x:c>
      <x:c r="V31" s="269" t="str">
        <x:v>pasuje – dokumentacja i przetwarzanie danych</x:v>
      </x:c>
      <x:c r="W31" s="269" t="str">
        <x:v>archiwalna</x:v>
      </x:c>
      <x:c r="X31" s="269" t="str">
        <x:v>No</x:v>
      </x:c>
      <x:c r="Y31" s="269" t="str">
        <x:v>No</x:v>
      </x:c>
    </x:row>
    <x:row r="32">
      <x:c r="A32" s="269" t="str">
        <x:v>31</x:v>
      </x:c>
      <x:c r="B32" s="269" t="str">
        <x:v>Pracuj.pl</x:v>
      </x:c>
      <x:c r="C32" s="269" t="str">
        <x:v>Młodszy specjalista ds. dokumentacji (k/m/n)</x:v>
      </x:c>
      <x:c r="D32" s="269" t="str">
        <x:v>ONDE S.A.</x:v>
      </x:c>
      <x:c r="E32" s="269" t="str">
        <x:v>Końskie</x:v>
      </x:c>
      <x:c r="F32" s="269" t="str">
        <x:v>junior/asystent</x:v>
      </x:c>
      <x:c r="G32" s="269" t="str">
        <x:v>Junior / entry</x:v>
      </x:c>
      <x:c r="H32" s="269" t="str">
        <x:v>stacjonarna</x:v>
      </x:c>
      <x:c r="I32" s="269" t="str">
        <x:v>On-site</x:v>
      </x:c>
      <x:c r="J32" s="269" t="str">
        <x:v>umowa o pracę</x:v>
      </x:c>
      <x:c r="K32" s="269" t="str">
        <x:v>Employment contract</x:v>
      </x:c>
      <x:c r="L32" s="269" t="str">
        <x:v>dokumentacja</x:v>
      </x:c>
      <x:c r="M32" s="269" t="str">
        <x:v>Information &amp; documentation</x:v>
      </x:c>
      <x:c r="N32" s="269" t="str">
        <x:v>brak informacji</x:v>
      </x:c>
      <x:c r="O32" s="269" t="str">
        <x:v>brak informacji</x:v>
      </x:c>
      <x:c r="P32" s="269" t="str">
        <x:v>No</x:v>
      </x:c>
      <x:c r="Q32" s="269" t="str">
        <x:v>Archived direct record</x:v>
      </x:c>
      <x:c r="R32" s="269" t="str">
        <x:v>https://www.pracuj.pl/praca/mlodszy-specjalista-ds-dokumentacji-k-m-n-konskie%2Coferta%2C1004770535</x:v>
      </x:c>
      <x:c r="S32" s="270" t="str">
        <x:v>2026-07-09</x:v>
      </x:c>
      <x:c r="T32" s="269" t="str">
        <x:v>dokumentacja, obieg informacji</x:v>
      </x:c>
      <x:c r="U32" s="269" t="str">
        <x:v>junior</x:v>
      </x:c>
      <x:c r="V32" s="269" t="str">
        <x:v>pasuje – dokumentacja organizacyjna</x:v>
      </x:c>
      <x:c r="W32" s="269" t="str">
        <x:v>archiwalna/ była ważna do maja wg źródła</x:v>
      </x:c>
      <x:c r="X32" s="269" t="str">
        <x:v>No</x:v>
      </x:c>
      <x:c r="Y32" s="269" t="str">
        <x:v>No</x:v>
      </x:c>
    </x:row>
    <x:row r="33">
      <x:c r="A33" s="269" t="str">
        <x:v>32</x:v>
      </x:c>
      <x:c r="B33" s="269" t="str">
        <x:v>Pracuj.pl</x:v>
      </x:c>
      <x:c r="C33" s="269" t="str">
        <x:v>Młodszy Specjalista ds. Dokumentacji Importowej (m/k)</x:v>
      </x:c>
      <x:c r="D33" s="269" t="str">
        <x:v>AGATA S.A.</x:v>
      </x:c>
      <x:c r="E33" s="269" t="str">
        <x:v>Katowice</x:v>
      </x:c>
      <x:c r="F33" s="269" t="str">
        <x:v>junior/mid</x:v>
      </x:c>
      <x:c r="G33" s="269" t="str">
        <x:v>Junior–Mid</x:v>
      </x:c>
      <x:c r="H33" s="269" t="str">
        <x:v>stacjonarna</x:v>
      </x:c>
      <x:c r="I33" s="269" t="str">
        <x:v>On-site</x:v>
      </x:c>
      <x:c r="J33" s="269" t="str">
        <x:v>umowa o pracę</x:v>
      </x:c>
      <x:c r="K33" s="269" t="str">
        <x:v>Employment contract</x:v>
      </x:c>
      <x:c r="L33" s="269" t="str">
        <x:v>dokumentacja importowa</x:v>
      </x:c>
      <x:c r="M33" s="269" t="str">
        <x:v>Information &amp; documentation</x:v>
      </x:c>
      <x:c r="N33" s="269" t="str">
        <x:v>brak informacji</x:v>
      </x:c>
      <x:c r="O33" s="269" t="str">
        <x:v>brak informacji</x:v>
      </x:c>
      <x:c r="P33" s="269" t="str">
        <x:v>No</x:v>
      </x:c>
      <x:c r="Q33" s="269" t="str">
        <x:v>Archived direct record</x:v>
      </x:c>
      <x:c r="R33" s="269" t="str">
        <x:v>https://www.pracuj.pl/praca/mlodszy-specjalista-ds-dokumentacji-importowej-m-k-katowice-aleja-walentego-rozdzienskiego-93%2Coferta%2C1004809001</x:v>
      </x:c>
      <x:c r="S33" s="270" t="str">
        <x:v>2026-07-09</x:v>
      </x:c>
      <x:c r="T33" s="269" t="str">
        <x:v>dokumentacja, procesy, dane transakcyjne</x:v>
      </x:c>
      <x:c r="U33" s="269" t="str">
        <x:v>angielski</x:v>
      </x:c>
      <x:c r="V33" s="269" t="str">
        <x:v>pasuje – dokumentacja i procesy informacyjne</x:v>
      </x:c>
      <x:c r="W33" s="269" t="str">
        <x:v>archiwalna</x:v>
      </x:c>
      <x:c r="X33" s="269" t="str">
        <x:v>No</x:v>
      </x:c>
      <x:c r="Y33" s="269" t="str">
        <x:v>No</x:v>
      </x:c>
    </x:row>
    <x:row r="34">
      <x:c r="A34" s="269" t="str">
        <x:v>33</x:v>
      </x:c>
      <x:c r="B34" s="269" t="str">
        <x:v>Pracuj.pl</x:v>
      </x:c>
      <x:c r="C34" s="269" t="str">
        <x:v>Młodszy Specjalista ds. Dokumentacji Technicznej</x:v>
      </x:c>
      <x:c r="D34" s="269" t="str">
        <x:v>ENTER AIR SERVICES Sp. z o.o.</x:v>
      </x:c>
      <x:c r="E34" s="269" t="str">
        <x:v>Warszawa</x:v>
      </x:c>
      <x:c r="F34" s="269" t="str">
        <x:v>junior/mid</x:v>
      </x:c>
      <x:c r="G34" s="269" t="str">
        <x:v>Junior–Mid</x:v>
      </x:c>
      <x:c r="H34" s="269" t="str">
        <x:v>stacjonarna</x:v>
      </x:c>
      <x:c r="I34" s="269" t="str">
        <x:v>On-site</x:v>
      </x:c>
      <x:c r="J34" s="269" t="str">
        <x:v>umowa zlecenie / B2B</x:v>
      </x:c>
      <x:c r="K34" s="269" t="str">
        <x:v>Multiple options</x:v>
      </x:c>
      <x:c r="L34" s="269" t="str">
        <x:v>dokumentacja techniczna</x:v>
      </x:c>
      <x:c r="M34" s="269" t="str">
        <x:v>Information &amp; documentation</x:v>
      </x:c>
      <x:c r="N34" s="269" t="str">
        <x:v>brak informacji</x:v>
      </x:c>
      <x:c r="O34" s="269" t="str">
        <x:v>brak informacji</x:v>
      </x:c>
      <x:c r="P34" s="269" t="str">
        <x:v>No</x:v>
      </x:c>
      <x:c r="Q34" s="269" t="str">
        <x:v>Archived direct record</x:v>
      </x:c>
      <x:c r="R34" s="269" t="str">
        <x:v>https://www.pracuj.pl/praca/mlodszy-specjalista-ds-dokumentacji-technicznej-warszawa-komitetu-obrony-robotnikow-74%2Coferta%2C1004185309</x:v>
      </x:c>
      <x:c r="S34" s="270" t="str">
        <x:v>2026-07-09</x:v>
      </x:c>
      <x:c r="T34" s="269" t="str">
        <x:v>dokumentacja techniczna, informacje techniczne</x:v>
      </x:c>
      <x:c r="U34" s="269" t="str">
        <x:v>junior/mid</x:v>
      </x:c>
      <x:c r="V34" s="269" t="str">
        <x:v>pasuje – dokumentacja techniczna</x:v>
      </x:c>
      <x:c r="W34" s="269" t="str">
        <x:v>archiwalna</x:v>
      </x:c>
      <x:c r="X34" s="269" t="str">
        <x:v>No</x:v>
      </x:c>
      <x:c r="Y34" s="269" t="str">
        <x:v>No</x:v>
      </x:c>
    </x:row>
    <x:row r="35">
      <x:c r="A35" s="269" t="str">
        <x:v>34</x:v>
      </x:c>
      <x:c r="B35" s="269" t="str">
        <x:v>Pracuj.pl</x:v>
      </x:c>
      <x:c r="C35" s="269" t="str">
        <x:v>Młodszy Specjalista ds. Dokumentacji Medycznej LUXMED</x:v>
      </x:c>
      <x:c r="D35" s="269" t="str">
        <x:v>LUX MED Sp. z o.o.</x:v>
      </x:c>
      <x:c r="E35" s="269" t="str">
        <x:v>Warszawa</x:v>
      </x:c>
      <x:c r="F35" s="269" t="str">
        <x:v>junior/asystent</x:v>
      </x:c>
      <x:c r="G35" s="269" t="str">
        <x:v>Junior / entry</x:v>
      </x:c>
      <x:c r="H35" s="269" t="str">
        <x:v>stacjonarna</x:v>
      </x:c>
      <x:c r="I35" s="269" t="str">
        <x:v>On-site</x:v>
      </x:c>
      <x:c r="J35" s="269" t="str">
        <x:v>umowa o pracę</x:v>
      </x:c>
      <x:c r="K35" s="269" t="str">
        <x:v>Employment contract</x:v>
      </x:c>
      <x:c r="L35" s="269" t="str">
        <x:v>dokumentacja medyczna</x:v>
      </x:c>
      <x:c r="M35" s="269" t="str">
        <x:v>Information &amp; documentation</x:v>
      </x:c>
      <x:c r="N35" s="269" t="str">
        <x:v>brak informacji</x:v>
      </x:c>
      <x:c r="O35" s="269" t="str">
        <x:v>brak informacji</x:v>
      </x:c>
      <x:c r="P35" s="269" t="str">
        <x:v>No</x:v>
      </x:c>
      <x:c r="Q35" s="269" t="str">
        <x:v>Archived direct record</x:v>
      </x:c>
      <x:c r="R35" s="269" t="str">
        <x:v>https://www.pracuj.pl/praca/mlodszy-specjalista-ds-dokumentacji-medycznej-luxmed-warszawa-sw-wincentego-103%2Coferta%2C1003671196</x:v>
      </x:c>
      <x:c r="S35" s="270" t="str">
        <x:v>2026-07-09</x:v>
      </x:c>
      <x:c r="T35" s="269" t="str">
        <x:v>dokumentacja, dane pacjentów, obieg informacji</x:v>
      </x:c>
      <x:c r="U35" s="269" t="str">
        <x:v>junior</x:v>
      </x:c>
      <x:c r="V35" s="269" t="str">
        <x:v>pasuje – dokumentacja i zarządzanie informacją w ochronie zdrowia</x:v>
      </x:c>
      <x:c r="W35" s="269" t="str">
        <x:v>archiwalna</x:v>
      </x:c>
      <x:c r="X35" s="269" t="str">
        <x:v>No</x:v>
      </x:c>
      <x:c r="Y35" s="269" t="str">
        <x:v>No</x:v>
      </x:c>
    </x:row>
    <x:row r="36">
      <x:c r="A36" s="269" t="str">
        <x:v>35</x:v>
      </x:c>
      <x:c r="B36" s="269" t="str">
        <x:v>Pracuj.pl</x:v>
      </x:c>
      <x:c r="C36" s="269" t="str">
        <x:v>Młodszy Specjalista ds. Raportowania</x:v>
      </x:c>
      <x:c r="D36" s="269" t="str">
        <x:v>Biedronka / Jeronimo Martins Polska S.A.</x:v>
      </x:c>
      <x:c r="E36" s="269" t="str">
        <x:v>Warszawa</x:v>
      </x:c>
      <x:c r="F36" s="269" t="str">
        <x:v>junior</x:v>
      </x:c>
      <x:c r="G36" s="269" t="str">
        <x:v>Junior / entry</x:v>
      </x:c>
      <x:c r="H36" s="269" t="str">
        <x:v>stacjonarna</x:v>
      </x:c>
      <x:c r="I36" s="269" t="str">
        <x:v>On-site</x:v>
      </x:c>
      <x:c r="J36" s="269" t="str">
        <x:v>umowa o pracę</x:v>
      </x:c>
      <x:c r="K36" s="269" t="str">
        <x:v>Employment contract</x:v>
      </x:c>
      <x:c r="L36" s="269" t="str">
        <x:v>raportowanie</x:v>
      </x:c>
      <x:c r="M36" s="269" t="str">
        <x:v>Reporting &amp; BI</x:v>
      </x:c>
      <x:c r="N36" s="269" t="str">
        <x:v>brak informacji</x:v>
      </x:c>
      <x:c r="O36" s="269" t="str">
        <x:v>brak informacji</x:v>
      </x:c>
      <x:c r="P36" s="269" t="str">
        <x:v>No</x:v>
      </x:c>
      <x:c r="Q36" s="269" t="str">
        <x:v>Archived direct record</x:v>
      </x:c>
      <x:c r="R36" s="269" t="str">
        <x:v>https://www.pracuj.pl/praca/mlodszy-specjalista-ds-raportowania-warszawa-dolna-3%2Coferta%2C1004473827</x:v>
      </x:c>
      <x:c r="S36" s="270" t="str">
        <x:v>2026-07-09</x:v>
      </x:c>
      <x:c r="T36" s="269" t="str">
        <x:v>raportowanie, zestawienia</x:v>
      </x:c>
      <x:c r="U36" s="269" t="str">
        <x:v>angielski</x:v>
      </x:c>
      <x:c r="V36" s="269" t="str">
        <x:v>pasuje – raportowanie i dane</x:v>
      </x:c>
      <x:c r="W36" s="269" t="str">
        <x:v>archiwalna</x:v>
      </x:c>
      <x:c r="X36" s="269" t="str">
        <x:v>No</x:v>
      </x:c>
      <x:c r="Y36" s="269" t="str">
        <x:v>No</x:v>
      </x:c>
    </x:row>
    <x:row r="37">
      <x:c r="A37" s="269" t="str">
        <x:v>36</x:v>
      </x:c>
      <x:c r="B37" s="269" t="str">
        <x:v>Pracuj.pl</x:v>
      </x:c>
      <x:c r="C37" s="269" t="str">
        <x:v>Młodszy Specjalista ds. Raportowania i Analiz</x:v>
      </x:c>
      <x:c r="D37" s="269" t="str">
        <x:v>Atman sp. z o.o.</x:v>
      </x:c>
      <x:c r="E37" s="269" t="str">
        <x:v>Warszawa</x:v>
      </x:c>
      <x:c r="F37" s="269" t="str">
        <x:v>junior</x:v>
      </x:c>
      <x:c r="G37" s="269" t="str">
        <x:v>Junior / entry</x:v>
      </x:c>
      <x:c r="H37" s="269" t="str">
        <x:v>hybrydowa</x:v>
      </x:c>
      <x:c r="I37" s="269" t="str">
        <x:v>Hybrid</x:v>
      </x:c>
      <x:c r="J37" s="269" t="str">
        <x:v>umowa o pracę</x:v>
      </x:c>
      <x:c r="K37" s="269" t="str">
        <x:v>Employment contract</x:v>
      </x:c>
      <x:c r="L37" s="269" t="str">
        <x:v>raportowanie / analizy</x:v>
      </x:c>
      <x:c r="M37" s="269" t="str">
        <x:v>Reporting &amp; BI</x:v>
      </x:c>
      <x:c r="N37" s="269" t="str">
        <x:v>brak informacji</x:v>
      </x:c>
      <x:c r="O37" s="269" t="str">
        <x:v>brak informacji</x:v>
      </x:c>
      <x:c r="P37" s="269" t="str">
        <x:v>No</x:v>
      </x:c>
      <x:c r="Q37" s="269" t="str">
        <x:v>Archived direct record</x:v>
      </x:c>
      <x:c r="R37" s="269" t="str">
        <x:v>https://www.pracuj.pl/praca/mlodszy-specjalista-ds-raportowania-i-analiz-warszawa-grochowska-21a%2Coferta%2C1003702866</x:v>
      </x:c>
      <x:c r="S37" s="270" t="str">
        <x:v>2026-07-09</x:v>
      </x:c>
      <x:c r="T37" s="269" t="str">
        <x:v>raportowanie i analizy</x:v>
      </x:c>
      <x:c r="U37" s="269" t="str">
        <x:v>junior</x:v>
      </x:c>
      <x:c r="V37" s="269" t="str">
        <x:v>pasuje – raportowanie i analiza informacji</x:v>
      </x:c>
      <x:c r="W37" s="269" t="str">
        <x:v>archiwalna</x:v>
      </x:c>
      <x:c r="X37" s="269" t="str">
        <x:v>No</x:v>
      </x:c>
      <x:c r="Y37" s="269" t="str">
        <x:v>No</x:v>
      </x:c>
    </x:row>
    <x:row r="38">
      <x:c r="A38" s="269" t="str">
        <x:v>37</x:v>
      </x:c>
      <x:c r="B38" s="269" t="str">
        <x:v>Pracuj.pl</x:v>
      </x:c>
      <x:c r="C38" s="269" t="str">
        <x:v>Junior IT Strategy Analyst (Junior PMO)</x:v>
      </x:c>
      <x:c r="D38" s="269" t="str">
        <x:v>B2B.NET S.A.</x:v>
      </x:c>
      <x:c r="E38" s="269" t="str">
        <x:v>cała Polska / wiele lokalizacji</x:v>
      </x:c>
      <x:c r="F38" s="269" t="str">
        <x:v>junior</x:v>
      </x:c>
      <x:c r="G38" s="269" t="str">
        <x:v>Junior / entry</x:v>
      </x:c>
      <x:c r="H38" s="269" t="str">
        <x:v>brak danych</x:v>
      </x:c>
      <x:c r="I38" s="269" t="str">
        <x:v>Unknown</x:v>
      </x:c>
      <x:c r="J38" s="269" t="str">
        <x:v>brak danych</x:v>
      </x:c>
      <x:c r="K38" s="269" t="str">
        <x:v>Unknown</x:v>
      </x:c>
      <x:c r="L38" s="269" t="str">
        <x:v>PMO / analiza IT</x:v>
      </x:c>
      <x:c r="M38" s="269" t="str">
        <x:v>Business &amp; systems analysis</x:v>
      </x:c>
      <x:c r="N38" s="269" t="str">
        <x:v>brak danych</x:v>
      </x:c>
      <x:c r="O38" s="269" t="str">
        <x:v>brak danych</x:v>
      </x:c>
      <x:c r="P38" s="269" t="str">
        <x:v>No</x:v>
      </x:c>
      <x:c r="Q38" s="269" t="str">
        <x:v>Needs verification</x:v>
      </x:c>
      <x:c r="R38" s="269" t="str">
        <x:v>https://www.pracuj.pl/praca/junior%20it%20data%20analyst%3Bkw</x:v>
      </x:c>
      <x:c r="S38" s="270" t="str">
        <x:v>2026-07-09</x:v>
      </x:c>
      <x:c r="T38" s="269" t="str">
        <x:v>analiza strategii IT, PMO, informacja projektowa</x:v>
      </x:c>
      <x:c r="U38" s="269" t="str">
        <x:v>junior</x:v>
      </x:c>
      <x:c r="V38" s="269" t="str">
        <x:v>pasuje częściowo – PMO, analiza i informacja projektowa</x:v>
      </x:c>
      <x:c r="W38" s="269" t="str">
        <x:v>do weryfikacji z listy wyników</x:v>
      </x:c>
      <x:c r="X38" s="269" t="str">
        <x:v>No</x:v>
      </x:c>
      <x:c r="Y38" s="269" t="str">
        <x:v>No</x:v>
      </x:c>
    </x:row>
    <x:row r="39">
      <x:c r="A39" s="269" t="str">
        <x:v>38</x:v>
      </x:c>
      <x:c r="B39" s="269" t="str">
        <x:v>Pracuj.pl</x:v>
      </x:c>
      <x:c r="C39" s="269" t="str">
        <x:v>Junior Data Analyst</x:v>
      </x:c>
      <x:c r="D39" s="269" t="str">
        <x:v>SIMPLIFAE POLAND S.A.</x:v>
      </x:c>
      <x:c r="E39" s="269" t="str">
        <x:v>Warszawa, Mokotów</x:v>
      </x:c>
      <x:c r="F39" s="269" t="str">
        <x:v>junior</x:v>
      </x:c>
      <x:c r="G39" s="269" t="str">
        <x:v>Junior / entry</x:v>
      </x:c>
      <x:c r="H39" s="269" t="str">
        <x:v>brak danych</x:v>
      </x:c>
      <x:c r="I39" s="269" t="str">
        <x:v>Unknown</x:v>
      </x:c>
      <x:c r="J39" s="269" t="str">
        <x:v>brak danych</x:v>
      </x:c>
      <x:c r="K39" s="269" t="str">
        <x:v>Unknown</x:v>
      </x:c>
      <x:c r="L39" s="269" t="str">
        <x:v>analityczne / dane</x:v>
      </x:c>
      <x:c r="M39" s="269" t="str">
        <x:v>Data analysis</x:v>
      </x:c>
      <x:c r="N39" s="269" t="str">
        <x:v>brak danych</x:v>
      </x:c>
      <x:c r="O39" s="269" t="str">
        <x:v>brak danych</x:v>
      </x:c>
      <x:c r="P39" s="269" t="str">
        <x:v>No</x:v>
      </x:c>
      <x:c r="Q39" s="269" t="str">
        <x:v>Needs verification</x:v>
      </x:c>
      <x:c r="R39" s="269" t="str">
        <x:v>https://www.pracuj.pl/praca/junior%20analyst%3Bkw/warszawa%3Bwp</x:v>
      </x:c>
      <x:c r="S39" s="270" t="str">
        <x:v>2026-07-09</x:v>
      </x:c>
      <x:c r="T39" s="269" t="str">
        <x:v>analiza danych</x:v>
      </x:c>
      <x:c r="U39" s="269" t="str">
        <x:v>junior</x:v>
      </x:c>
      <x:c r="V39" s="269" t="str">
        <x:v>pasuje – junior data analyst</x:v>
      </x:c>
      <x:c r="W39" s="269" t="str">
        <x:v>do weryfikacji z listy wyników</x:v>
      </x:c>
      <x:c r="X39" s="269" t="str">
        <x:v>No</x:v>
      </x:c>
      <x:c r="Y39" s="269" t="str">
        <x:v>No</x:v>
      </x:c>
    </x:row>
    <x:row r="40">
      <x:c r="A40" s="269" t="str">
        <x:v>39</x:v>
      </x:c>
      <x:c r="B40" s="269" t="str">
        <x:v>Pracuj.pl</x:v>
      </x:c>
      <x:c r="C40" s="269" t="str">
        <x:v>Młodszy Analityk Biznesowy</x:v>
      </x:c>
      <x:c r="D40" s="269" t="str">
        <x:v>Karlsbad Sp. z o.o.</x:v>
      </x:c>
      <x:c r="E40" s="269" t="str">
        <x:v>Warszawa</x:v>
      </x:c>
      <x:c r="F40" s="269" t="str">
        <x:v>junior</x:v>
      </x:c>
      <x:c r="G40" s="269" t="str">
        <x:v>Junior / entry</x:v>
      </x:c>
      <x:c r="H40" s="269" t="str">
        <x:v>hybrydowa</x:v>
      </x:c>
      <x:c r="I40" s="269" t="str">
        <x:v>Hybrid</x:v>
      </x:c>
      <x:c r="J40" s="269" t="str">
        <x:v>umowa o pracę / B2B</x:v>
      </x:c>
      <x:c r="K40" s="269" t="str">
        <x:v>Multiple options</x:v>
      </x:c>
      <x:c r="L40" s="269" t="str">
        <x:v>analityczne / biznesowe</x:v>
      </x:c>
      <x:c r="M40" s="269" t="str">
        <x:v>Business &amp; systems analysis</x:v>
      </x:c>
      <x:c r="N40" s="269" t="str">
        <x:v>brak danych</x:v>
      </x:c>
      <x:c r="O40" s="269" t="str">
        <x:v>7 400–8 400 zł brutto/mies.</x:v>
      </x:c>
      <x:c r="P40" s="269" t="str">
        <x:v>Yes</x:v>
      </x:c>
      <x:c r="Q40" s="269" t="str">
        <x:v>Needs verification</x:v>
      </x:c>
      <x:c r="R40" s="269" t="str">
        <x:v>https://www.pracuj.pl/praca/m%C5%82odszy%20analityk%20biznesowy%3Bkw/warszawa%3Bwp</x:v>
      </x:c>
      <x:c r="S40" s="270" t="str">
        <x:v>2026-07-09</x:v>
      </x:c>
      <x:c r="T40" s="269" t="str">
        <x:v>analiza biznesowa</x:v>
      </x:c>
      <x:c r="U40" s="269" t="str">
        <x:v>junior</x:v>
      </x:c>
      <x:c r="V40" s="269" t="str">
        <x:v>pasuje – młodszy analityk biznesowy</x:v>
      </x:c>
      <x:c r="W40" s="269" t="str">
        <x:v>do weryfikacji z listy wyników</x:v>
      </x:c>
      <x:c r="X40" s="269" t="str">
        <x:v>No</x:v>
      </x:c>
      <x:c r="Y40" s="269" t="str">
        <x:v>No</x:v>
      </x:c>
    </x:row>
    <x:row r="41">
      <x:c r="A41" s="269" t="str">
        <x:v>40</x:v>
      </x:c>
      <x:c r="B41" s="269" t="str">
        <x:v>Pracuj.pl</x:v>
      </x:c>
      <x:c r="C41" s="269" t="str">
        <x:v>Junior Data Analyst</x:v>
      </x:c>
      <x:c r="D41" s="269" t="str">
        <x:v>STAR HUNT</x:v>
      </x:c>
      <x:c r="E41" s="269" t="str">
        <x:v>Warszawa</x:v>
      </x:c>
      <x:c r="F41" s="269" t="str">
        <x:v>junior</x:v>
      </x:c>
      <x:c r="G41" s="269" t="str">
        <x:v>Junior / entry</x:v>
      </x:c>
      <x:c r="H41" s="269" t="str">
        <x:v>brak danych</x:v>
      </x:c>
      <x:c r="I41" s="269" t="str">
        <x:v>Unknown</x:v>
      </x:c>
      <x:c r="J41" s="269" t="str">
        <x:v>brak danych</x:v>
      </x:c>
      <x:c r="K41" s="269" t="str">
        <x:v>Unknown</x:v>
      </x:c>
      <x:c r="L41" s="269" t="str">
        <x:v>analityczne / dane</x:v>
      </x:c>
      <x:c r="M41" s="269" t="str">
        <x:v>Data analysis</x:v>
      </x:c>
      <x:c r="N41" s="269" t="str">
        <x:v>brak danych</x:v>
      </x:c>
      <x:c r="O41" s="269" t="str">
        <x:v>brak danych</x:v>
      </x:c>
      <x:c r="P41" s="269" t="str">
        <x:v>No</x:v>
      </x:c>
      <x:c r="Q41" s="269" t="str">
        <x:v>Needs verification</x:v>
      </x:c>
      <x:c r="R41" s="269" t="str">
        <x:v>https://www.pracuj.pl/praca/junior-data-analyst-warszawa%2Coferta%2C1004139525</x:v>
      </x:c>
      <x:c r="S41" s="270" t="str">
        <x:v>2026-07-09</x:v>
      </x:c>
      <x:c r="T41" s="269" t="str">
        <x:v>analiza danych</x:v>
      </x:c>
      <x:c r="U41" s="269" t="str">
        <x:v>junior</x:v>
      </x:c>
      <x:c r="V41" s="269" t="str">
        <x:v>pasuje – junior data analyst</x:v>
      </x:c>
      <x:c r="W41" s="269" t="str">
        <x:v>archiwalna / do weryfikacji</x:v>
      </x:c>
      <x:c r="X41" s="269" t="str">
        <x:v>No</x:v>
      </x:c>
      <x:c r="Y41" s="269" t="str">
        <x:v>No</x:v>
      </x:c>
    </x:row>
    <x:row r="42">
      <x:c r="A42" s="269" t="str">
        <x:v>41</x:v>
      </x:c>
      <x:c r="B42" s="269" t="str">
        <x:v>Pracuj.pl</x:v>
      </x:c>
      <x:c r="C42" s="269" t="str">
        <x:v>Junior Analyst PMA</x:v>
      </x:c>
      <x:c r="D42" s="269" t="str">
        <x:v>Circle K Polska Sp. z o.o.</x:v>
      </x:c>
      <x:c r="E42" s="269" t="str">
        <x:v>Warszawa</x:v>
      </x:c>
      <x:c r="F42" s="269" t="str">
        <x:v>junior/mid</x:v>
      </x:c>
      <x:c r="G42" s="269" t="str">
        <x:v>Junior–Mid</x:v>
      </x:c>
      <x:c r="H42" s="269" t="str">
        <x:v>stacjonarna</x:v>
      </x:c>
      <x:c r="I42" s="269" t="str">
        <x:v>On-site</x:v>
      </x:c>
      <x:c r="J42" s="269" t="str">
        <x:v>umowa o pracę</x:v>
      </x:c>
      <x:c r="K42" s="269" t="str">
        <x:v>Employment contract</x:v>
      </x:c>
      <x:c r="L42" s="269" t="str">
        <x:v>analityczne / biznesowe</x:v>
      </x:c>
      <x:c r="M42" s="269" t="str">
        <x:v>Business &amp; systems analysis</x:v>
      </x:c>
      <x:c r="N42" s="269" t="str">
        <x:v>brak danych</x:v>
      </x:c>
      <x:c r="O42" s="269" t="str">
        <x:v>brak danych</x:v>
      </x:c>
      <x:c r="P42" s="269" t="str">
        <x:v>No</x:v>
      </x:c>
      <x:c r="Q42" s="269" t="str">
        <x:v>Needs verification</x:v>
      </x:c>
      <x:c r="R42" s="269" t="str">
        <x:v>https://www.pracuj.pl/praca/junior-analyst-pma-warszawa-pulawska-86%2Coferta%2C1004200439</x:v>
      </x:c>
      <x:c r="S42" s="270" t="str">
        <x:v>2026-07-09</x:v>
      </x:c>
      <x:c r="T42" s="269" t="str">
        <x:v>analizy, praca z danymi</x:v>
      </x:c>
      <x:c r="U42" s="269" t="str">
        <x:v>angielski</x:v>
      </x:c>
      <x:c r="V42" s="269" t="str">
        <x:v>pasuje częściowo – junior analyst</x:v>
      </x:c>
      <x:c r="W42" s="269" t="str">
        <x:v>archiwalna / do weryfikacji</x:v>
      </x:c>
      <x:c r="X42" s="269" t="str">
        <x:v>No</x:v>
      </x:c>
      <x:c r="Y42" s="269" t="str">
        <x:v>No</x:v>
      </x:c>
    </x:row>
    <x:row r="43">
      <x:c r="A43" s="269" t="str">
        <x:v>42</x:v>
      </x:c>
      <x:c r="B43" s="269" t="str">
        <x:v>Pracuj.pl</x:v>
      </x:c>
      <x:c r="C43" s="269" t="str">
        <x:v>Junior Analyst</x:v>
      </x:c>
      <x:c r="D43" s="269" t="str">
        <x:v>Omnipack Sp. z o.o.</x:v>
      </x:c>
      <x:c r="E43" s="269" t="str">
        <x:v>Warszawa</x:v>
      </x:c>
      <x:c r="F43" s="269" t="str">
        <x:v>junior</x:v>
      </x:c>
      <x:c r="G43" s="269" t="str">
        <x:v>Junior / entry</x:v>
      </x:c>
      <x:c r="H43" s="269" t="str">
        <x:v>hybrydowa</x:v>
      </x:c>
      <x:c r="I43" s="269" t="str">
        <x:v>Hybrid</x:v>
      </x:c>
      <x:c r="J43" s="269" t="str">
        <x:v>umowa o pracę</x:v>
      </x:c>
      <x:c r="K43" s="269" t="str">
        <x:v>Employment contract</x:v>
      </x:c>
      <x:c r="L43" s="269" t="str">
        <x:v>analityczne / operacyjne</x:v>
      </x:c>
      <x:c r="M43" s="269" t="str">
        <x:v>Data analysis</x:v>
      </x:c>
      <x:c r="N43" s="269" t="str">
        <x:v>brak danych</x:v>
      </x:c>
      <x:c r="O43" s="269" t="str">
        <x:v>3 000–4 000 zł brutto/mies.</x:v>
      </x:c>
      <x:c r="P43" s="269" t="str">
        <x:v>Yes</x:v>
      </x:c>
      <x:c r="Q43" s="269" t="str">
        <x:v>Needs verification</x:v>
      </x:c>
      <x:c r="R43" s="269" t="str">
        <x:v>https://www.pracuj.pl/praca/junior-analyst-warszawa%2Coferta%2C1001286917</x:v>
      </x:c>
      <x:c r="S43" s="270" t="str">
        <x:v>2026-07-09</x:v>
      </x:c>
      <x:c r="T43" s="269" t="str">
        <x:v>analiza danych/operacji</x:v>
      </x:c>
      <x:c r="U43" s="269" t="str">
        <x:v>junior</x:v>
      </x:c>
      <x:c r="V43" s="269" t="str">
        <x:v>pasuje – junior analyst</x:v>
      </x:c>
      <x:c r="W43" s="269" t="str">
        <x:v>archiwalna / do weryfikacji</x:v>
      </x:c>
      <x:c r="X43" s="269" t="str">
        <x:v>No</x:v>
      </x:c>
      <x:c r="Y43" s="269" t="str">
        <x:v>No</x:v>
      </x:c>
    </x:row>
    <x:row r="44">
      <x:c r="A44" s="269" t="str">
        <x:v>43</x:v>
      </x:c>
      <x:c r="B44" s="269" t="str">
        <x:v>Pracuj.pl</x:v>
      </x:c>
      <x:c r="C44" s="269" t="str">
        <x:v>Junior Consultant / Junior Analyst</x:v>
      </x:c>
      <x:c r="D44" s="269" t="str">
        <x:v>Aurelis Consulting Sp. z o.o.</x:v>
      </x:c>
      <x:c r="E44" s="269" t="str">
        <x:v>Warszawa</x:v>
      </x:c>
      <x:c r="F44" s="269" t="str">
        <x:v>junior/mid</x:v>
      </x:c>
      <x:c r="G44" s="269" t="str">
        <x:v>Junior–Mid</x:v>
      </x:c>
      <x:c r="H44" s="269" t="str">
        <x:v>stacjonarna</x:v>
      </x:c>
      <x:c r="I44" s="269" t="str">
        <x:v>On-site</x:v>
      </x:c>
      <x:c r="J44" s="269" t="str">
        <x:v>umowa o pracę</x:v>
      </x:c>
      <x:c r="K44" s="269" t="str">
        <x:v>Employment contract</x:v>
      </x:c>
      <x:c r="L44" s="269" t="str">
        <x:v>consulting / analiza</x:v>
      </x:c>
      <x:c r="M44" s="269" t="str">
        <x:v>Business &amp; systems analysis</x:v>
      </x:c>
      <x:c r="N44" s="269" t="str">
        <x:v>brak danych</x:v>
      </x:c>
      <x:c r="O44" s="269" t="str">
        <x:v>brak danych</x:v>
      </x:c>
      <x:c r="P44" s="269" t="str">
        <x:v>No</x:v>
      </x:c>
      <x:c r="Q44" s="269" t="str">
        <x:v>Needs verification</x:v>
      </x:c>
      <x:c r="R44" s="269" t="str">
        <x:v>https://www.pracuj.pl/praca/junior-consultant-junior-analyst-warszawa-grzybowska-61%2Coferta%2C1002290076</x:v>
      </x:c>
      <x:c r="S44" s="270" t="str">
        <x:v>2026-07-09</x:v>
      </x:c>
      <x:c r="T44" s="269" t="str">
        <x:v>analiza, consulting, informacje biznesowe</x:v>
      </x:c>
      <x:c r="U44" s="269" t="str">
        <x:v>junior/mid</x:v>
      </x:c>
      <x:c r="V44" s="269" t="str">
        <x:v>pasuje częściowo – analiza i praca z informacją</x:v>
      </x:c>
      <x:c r="W44" s="269" t="str">
        <x:v>archiwalna / do weryfikacji</x:v>
      </x:c>
      <x:c r="X44" s="269" t="str">
        <x:v>No</x:v>
      </x:c>
      <x:c r="Y44" s="269" t="str">
        <x:v>No</x:v>
      </x:c>
    </x:row>
    <x:row r="45">
      <x:c r="A45" s="269" t="str">
        <x:v>44</x:v>
      </x:c>
      <x:c r="B45" s="269" t="str">
        <x:v>Pracuj.pl</x:v>
      </x:c>
      <x:c r="C45" s="269" t="str">
        <x:v>Junior Analyst - Młodszy Analityk</x:v>
      </x:c>
      <x:c r="D45" s="269" t="str">
        <x:v>Mercer</x:v>
      </x:c>
      <x:c r="E45" s="269" t="str">
        <x:v>Warszawa</x:v>
      </x:c>
      <x:c r="F45" s="269" t="str">
        <x:v>junior</x:v>
      </x:c>
      <x:c r="G45" s="269" t="str">
        <x:v>Junior / entry</x:v>
      </x:c>
      <x:c r="H45" s="269" t="str">
        <x:v>brak danych</x:v>
      </x:c>
      <x:c r="I45" s="269" t="str">
        <x:v>Unknown</x:v>
      </x:c>
      <x:c r="J45" s="269" t="str">
        <x:v>umowa o pracę</x:v>
      </x:c>
      <x:c r="K45" s="269" t="str">
        <x:v>Employment contract</x:v>
      </x:c>
      <x:c r="L45" s="269" t="str">
        <x:v>analityczne / consulting</x:v>
      </x:c>
      <x:c r="M45" s="269" t="str">
        <x:v>Business &amp; systems analysis</x:v>
      </x:c>
      <x:c r="N45" s="269" t="str">
        <x:v>brak danych</x:v>
      </x:c>
      <x:c r="O45" s="269" t="str">
        <x:v>brak danych</x:v>
      </x:c>
      <x:c r="P45" s="269" t="str">
        <x:v>No</x:v>
      </x:c>
      <x:c r="Q45" s="269" t="str">
        <x:v>Needs verification</x:v>
      </x:c>
      <x:c r="R45" s="269" t="str">
        <x:v>https://www.pracuj.pl/praca/junior-analyst-mlodszy-analityk-warszawa%2Coferta%2C1001116807</x:v>
      </x:c>
      <x:c r="S45" s="270" t="str">
        <x:v>2026-07-09</x:v>
      </x:c>
      <x:c r="T45" s="269" t="str">
        <x:v>analiza danych, raportowanie</x:v>
      </x:c>
      <x:c r="U45" s="269" t="str">
        <x:v>junior</x:v>
      </x:c>
      <x:c r="V45" s="269" t="str">
        <x:v>pasuje – młodszy analityk</x:v>
      </x:c>
      <x:c r="W45" s="269" t="str">
        <x:v>archiwalna / do weryfikacji</x:v>
      </x:c>
      <x:c r="X45" s="269" t="str">
        <x:v>No</x:v>
      </x:c>
      <x:c r="Y45" s="269" t="str">
        <x:v>No</x:v>
      </x:c>
    </x:row>
    <x:row r="46">
      <x:c r="A46" s="269" t="str">
        <x:v>45</x:v>
      </x:c>
      <x:c r="B46" s="269" t="str">
        <x:v>Pracuj.pl</x:v>
      </x:c>
      <x:c r="C46" s="269" t="str">
        <x:v>Junior Analyst &amp; Administration Operations Specialist</x:v>
      </x:c>
      <x:c r="D46" s="269" t="str">
        <x:v>Raiffeisen Tech</x:v>
      </x:c>
      <x:c r="E46" s="269" t="str">
        <x:v>Warszawa</x:v>
      </x:c>
      <x:c r="F46" s="269" t="str">
        <x:v>junior</x:v>
      </x:c>
      <x:c r="G46" s="269" t="str">
        <x:v>Junior / entry</x:v>
      </x:c>
      <x:c r="H46" s="269" t="str">
        <x:v>hybrydowa</x:v>
      </x:c>
      <x:c r="I46" s="269" t="str">
        <x:v>Hybrid</x:v>
      </x:c>
      <x:c r="J46" s="269" t="str">
        <x:v>umowa o pracę</x:v>
      </x:c>
      <x:c r="K46" s="269" t="str">
        <x:v>Employment contract</x:v>
      </x:c>
      <x:c r="L46" s="269" t="str">
        <x:v>administracja / analiza operacyjna</x:v>
      </x:c>
      <x:c r="M46" s="269" t="str">
        <x:v>Operations &amp; data support</x:v>
      </x:c>
      <x:c r="N46" s="269" t="str">
        <x:v>brak danych</x:v>
      </x:c>
      <x:c r="O46" s="269" t="str">
        <x:v>brak danych</x:v>
      </x:c>
      <x:c r="P46" s="269" t="str">
        <x:v>No</x:v>
      </x:c>
      <x:c r="Q46" s="269" t="str">
        <x:v>Needs verification</x:v>
      </x:c>
      <x:c r="R46" s="269" t="str">
        <x:v>https://www.pracuj.pl/praca/junior-analyst-administration-operations-specialist-warszawa-plac-konesera-12%2Coferta%2C1003335207</x:v>
      </x:c>
      <x:c r="S46" s="270" t="str">
        <x:v>2026-07-09</x:v>
      </x:c>
      <x:c r="T46" s="269" t="str">
        <x:v>analiza i administracja operacyjna</x:v>
      </x:c>
      <x:c r="U46" s="269" t="str">
        <x:v>junior</x:v>
      </x:c>
      <x:c r="V46" s="269" t="str">
        <x:v>pasuje – administracja informacji i operacje</x:v>
      </x:c>
      <x:c r="W46" s="269" t="str">
        <x:v>archiwalna / do weryfikacji</x:v>
      </x:c>
      <x:c r="X46" s="269" t="str">
        <x:v>No</x:v>
      </x:c>
      <x:c r="Y46" s="269" t="str">
        <x:v>No</x:v>
      </x:c>
    </x:row>
    <x:row r="47">
      <x:c r="A47" s="269" t="str">
        <x:v>46</x:v>
      </x:c>
      <x:c r="B47" s="269" t="str">
        <x:v>Pracuj.pl</x:v>
      </x:c>
      <x:c r="C47" s="269" t="str">
        <x:v>Junior Analyst with German</x:v>
      </x:c>
      <x:c r="D47" s="269" t="str">
        <x:v>Jones Lang LaSalle</x:v>
      </x:c>
      <x:c r="E47" s="269" t="str">
        <x:v>Warszawa</x:v>
      </x:c>
      <x:c r="F47" s="269" t="str">
        <x:v>junior/mid</x:v>
      </x:c>
      <x:c r="G47" s="269" t="str">
        <x:v>Junior–Mid</x:v>
      </x:c>
      <x:c r="H47" s="269" t="str">
        <x:v>zdalna/hybrydowa</x:v>
      </x:c>
      <x:c r="I47" s="269" t="str">
        <x:v>Hybrid</x:v>
      </x:c>
      <x:c r="J47" s="269" t="str">
        <x:v>umowa o pracę</x:v>
      </x:c>
      <x:c r="K47" s="269" t="str">
        <x:v>Employment contract</x:v>
      </x:c>
      <x:c r="L47" s="269" t="str">
        <x:v>analityczne / języki</x:v>
      </x:c>
      <x:c r="M47" s="269" t="str">
        <x:v>Data analysis</x:v>
      </x:c>
      <x:c r="N47" s="269" t="str">
        <x:v>brak danych</x:v>
      </x:c>
      <x:c r="O47" s="269" t="str">
        <x:v>brak danych</x:v>
      </x:c>
      <x:c r="P47" s="269" t="str">
        <x:v>No</x:v>
      </x:c>
      <x:c r="Q47" s="269" t="str">
        <x:v>Needs verification</x:v>
      </x:c>
      <x:c r="R47" s="269" t="str">
        <x:v>https://www.pracuj.pl/praca/junior-analyst-with-german-warszawa%2Coferta%2C1003475461</x:v>
      </x:c>
      <x:c r="S47" s="270" t="str">
        <x:v>2026-07-09</x:v>
      </x:c>
      <x:c r="T47" s="269" t="str">
        <x:v>analizy, praca z informacją</x:v>
      </x:c>
      <x:c r="U47" s="269" t="str">
        <x:v>angielski, niemiecki</x:v>
      </x:c>
      <x:c r="V47" s="269" t="str">
        <x:v>pasuje częściowo – analiza i języki</x:v>
      </x:c>
      <x:c r="W47" s="269" t="str">
        <x:v>archiwalna / do weryfikacji</x:v>
      </x:c>
      <x:c r="X47" s="269" t="str">
        <x:v>No</x:v>
      </x:c>
      <x:c r="Y47" s="269" t="str">
        <x:v>No</x:v>
      </x:c>
    </x:row>
    <x:row r="48">
      <x:c r="A48" s="269" t="str">
        <x:v>47</x:v>
      </x:c>
      <x:c r="B48" s="269" t="str">
        <x:v>Pracuj.pl</x:v>
      </x:c>
      <x:c r="C48" s="269" t="str">
        <x:v>Junior BI Analyst</x:v>
      </x:c>
      <x:c r="D48" s="269" t="str">
        <x:v>Audioteka S.A.</x:v>
      </x:c>
      <x:c r="E48" s="269" t="str">
        <x:v>Warszawa</x:v>
      </x:c>
      <x:c r="F48" s="269" t="str">
        <x:v>junior</x:v>
      </x:c>
      <x:c r="G48" s="269" t="str">
        <x:v>Junior / entry</x:v>
      </x:c>
      <x:c r="H48" s="269" t="str">
        <x:v>brak danych</x:v>
      </x:c>
      <x:c r="I48" s="269" t="str">
        <x:v>Unknown</x:v>
      </x:c>
      <x:c r="J48" s="269" t="str">
        <x:v>brak danych</x:v>
      </x:c>
      <x:c r="K48" s="269" t="str">
        <x:v>Unknown</x:v>
      </x:c>
      <x:c r="L48" s="269" t="str">
        <x:v>BI / dane</x:v>
      </x:c>
      <x:c r="M48" s="269" t="str">
        <x:v>Reporting &amp; BI</x:v>
      </x:c>
      <x:c r="N48" s="269" t="str">
        <x:v>BI</x:v>
      </x:c>
      <x:c r="O48" s="269" t="str">
        <x:v>brak danych</x:v>
      </x:c>
      <x:c r="P48" s="269" t="str">
        <x:v>No</x:v>
      </x:c>
      <x:c r="Q48" s="269" t="str">
        <x:v>Needs verification</x:v>
      </x:c>
      <x:c r="R48" s="269" t="str">
        <x:v>https://www.pracuj.pl/praca/junior-bi-analyst-warszawa%2Coferta%2C1000428838</x:v>
      </x:c>
      <x:c r="S48" s="270" t="str">
        <x:v>2026-07-09</x:v>
      </x:c>
      <x:c r="T48" s="269" t="str">
        <x:v>analiza danych BI</x:v>
      </x:c>
      <x:c r="U48" s="269" t="str">
        <x:v>junior</x:v>
      </x:c>
      <x:c r="V48" s="269" t="str">
        <x:v>pasuje – BI, dane, raportowanie</x:v>
      </x:c>
      <x:c r="W48" s="269" t="str">
        <x:v>archiwalna / do weryfikacji</x:v>
      </x:c>
      <x:c r="X48" s="269" t="str">
        <x:v>No</x:v>
      </x:c>
      <x:c r="Y48" s="269" t="str">
        <x:v>No</x:v>
      </x:c>
    </x:row>
    <x:row r="49">
      <x:c r="A49" s="269" t="str">
        <x:v>48</x:v>
      </x:c>
      <x:c r="B49" s="269" t="str">
        <x:v>Pracuj.pl</x:v>
      </x:c>
      <x:c r="C49" s="269" t="str">
        <x:v>Junior BI Developer</x:v>
      </x:c>
      <x:c r="D49" s="269" t="str">
        <x:v>Performance Media</x:v>
      </x:c>
      <x:c r="E49" s="269" t="str">
        <x:v>Warszawa</x:v>
      </x:c>
      <x:c r="F49" s="269" t="str">
        <x:v>junior</x:v>
      </x:c>
      <x:c r="G49" s="269" t="str">
        <x:v>Junior / entry</x:v>
      </x:c>
      <x:c r="H49" s="269" t="str">
        <x:v>brak danych</x:v>
      </x:c>
      <x:c r="I49" s="269" t="str">
        <x:v>Unknown</x:v>
      </x:c>
      <x:c r="J49" s="269" t="str">
        <x:v>brak danych</x:v>
      </x:c>
      <x:c r="K49" s="269" t="str">
        <x:v>Unknown</x:v>
      </x:c>
      <x:c r="L49" s="269" t="str">
        <x:v>BI / dane</x:v>
      </x:c>
      <x:c r="M49" s="269" t="str">
        <x:v>Reporting &amp; BI</x:v>
      </x:c>
      <x:c r="N49" s="269" t="str">
        <x:v>BI</x:v>
      </x:c>
      <x:c r="O49" s="269" t="str">
        <x:v>brak danych</x:v>
      </x:c>
      <x:c r="P49" s="269" t="str">
        <x:v>No</x:v>
      </x:c>
      <x:c r="Q49" s="269" t="str">
        <x:v>Needs verification</x:v>
      </x:c>
      <x:c r="R49" s="269" t="str">
        <x:v>https://www.pracuj.pl/praca/junior-bi-developer-warszawa-bukszpanowa-18%2Coferta%2C1002403598</x:v>
      </x:c>
      <x:c r="S49" s="270" t="str">
        <x:v>2026-07-09</x:v>
      </x:c>
      <x:c r="T49" s="269" t="str">
        <x:v>dashboardy, raporty, dane</x:v>
      </x:c>
      <x:c r="U49" s="269" t="str">
        <x:v>junior</x:v>
      </x:c>
      <x:c r="V49" s="269" t="str">
        <x:v>pasuje – BI i dane</x:v>
      </x:c>
      <x:c r="W49" s="269" t="str">
        <x:v>archiwalna / do weryfikacji</x:v>
      </x:c>
      <x:c r="X49" s="269" t="str">
        <x:v>No</x:v>
      </x:c>
      <x:c r="Y49" s="269" t="str">
        <x:v>No</x:v>
      </x:c>
    </x:row>
    <x:row r="50">
      <x:c r="A50" s="269" t="str">
        <x:v>49</x:v>
      </x:c>
      <x:c r="B50" s="269" t="str">
        <x:v>Pracuj.pl</x:v>
      </x:c>
      <x:c r="C50" s="269" t="str">
        <x:v>Junior BI Developer</x:v>
      </x:c>
      <x:c r="D50" s="269" t="str">
        <x:v>BI RABBIT sp. z o.o.</x:v>
      </x:c>
      <x:c r="E50" s="269" t="str">
        <x:v>Warszawa</x:v>
      </x:c>
      <x:c r="F50" s="269" t="str">
        <x:v>junior/mid</x:v>
      </x:c>
      <x:c r="G50" s="269" t="str">
        <x:v>Junior–Mid</x:v>
      </x:c>
      <x:c r="H50" s="269" t="str">
        <x:v>stacjonarna</x:v>
      </x:c>
      <x:c r="I50" s="269" t="str">
        <x:v>On-site</x:v>
      </x:c>
      <x:c r="J50" s="269" t="str">
        <x:v>umowa zlecenie / B2B</x:v>
      </x:c>
      <x:c r="K50" s="269" t="str">
        <x:v>Multiple options</x:v>
      </x:c>
      <x:c r="L50" s="269" t="str">
        <x:v>BI / dane</x:v>
      </x:c>
      <x:c r="M50" s="269" t="str">
        <x:v>Reporting &amp; BI</x:v>
      </x:c>
      <x:c r="N50" s="269" t="str">
        <x:v>BI</x:v>
      </x:c>
      <x:c r="O50" s="269" t="str">
        <x:v>4 000–6 000 zł brutto/mies.</x:v>
      </x:c>
      <x:c r="P50" s="269" t="str">
        <x:v>Yes</x:v>
      </x:c>
      <x:c r="Q50" s="269" t="str">
        <x:v>Needs verification</x:v>
      </x:c>
      <x:c r="R50" s="269" t="str">
        <x:v>https://www.pracuj.pl/praca/junior-bi-developer-warszawa%2Coferta%2C1001499719</x:v>
      </x:c>
      <x:c r="S50" s="270" t="str">
        <x:v>2026-07-09</x:v>
      </x:c>
      <x:c r="T50" s="269" t="str">
        <x:v>raportowanie, BI</x:v>
      </x:c>
      <x:c r="U50" s="269" t="str">
        <x:v>junior/mid</x:v>
      </x:c>
      <x:c r="V50" s="269" t="str">
        <x:v>pasuje – BI i dane</x:v>
      </x:c>
      <x:c r="W50" s="269" t="str">
        <x:v>archiwalna / do weryfikacji</x:v>
      </x:c>
      <x:c r="X50" s="269" t="str">
        <x:v>No</x:v>
      </x:c>
      <x:c r="Y50" s="269" t="str">
        <x:v>No</x:v>
      </x:c>
    </x:row>
    <x:row r="51">
      <x:c r="A51" s="269" t="str">
        <x:v>50</x:v>
      </x:c>
      <x:c r="B51" s="269" t="str">
        <x:v>Pracuj.pl</x:v>
      </x:c>
      <x:c r="C51" s="269" t="str">
        <x:v>Junior BI Developer</x:v>
      </x:c>
      <x:c r="D51" s="269" t="str">
        <x:v>A.T. Kearney Sp. z o.o.</x:v>
      </x:c>
      <x:c r="E51" s="269" t="str">
        <x:v>Warszawa</x:v>
      </x:c>
      <x:c r="F51" s="269" t="str">
        <x:v>junior</x:v>
      </x:c>
      <x:c r="G51" s="269" t="str">
        <x:v>Junior / entry</x:v>
      </x:c>
      <x:c r="H51" s="269" t="str">
        <x:v>brak danych</x:v>
      </x:c>
      <x:c r="I51" s="269" t="str">
        <x:v>Unknown</x:v>
      </x:c>
      <x:c r="J51" s="269" t="str">
        <x:v>brak danych</x:v>
      </x:c>
      <x:c r="K51" s="269" t="str">
        <x:v>Unknown</x:v>
      </x:c>
      <x:c r="L51" s="269" t="str">
        <x:v>BI / dane</x:v>
      </x:c>
      <x:c r="M51" s="269" t="str">
        <x:v>Reporting &amp; BI</x:v>
      </x:c>
      <x:c r="N51" s="269" t="str">
        <x:v>BI</x:v>
      </x:c>
      <x:c r="O51" s="269" t="str">
        <x:v>brak danych</x:v>
      </x:c>
      <x:c r="P51" s="269" t="str">
        <x:v>No</x:v>
      </x:c>
      <x:c r="Q51" s="269" t="str">
        <x:v>Needs verification</x:v>
      </x:c>
      <x:c r="R51" s="269" t="str">
        <x:v>https://www.pracuj.pl/praca/junior-bi-developer-warszawa%2Coferta%2C1001929235</x:v>
      </x:c>
      <x:c r="S51" s="270" t="str">
        <x:v>2026-07-09</x:v>
      </x:c>
      <x:c r="T51" s="269" t="str">
        <x:v>analiza BI, raportowanie</x:v>
      </x:c>
      <x:c r="U51" s="269" t="str">
        <x:v>junior</x:v>
      </x:c>
      <x:c r="V51" s="269" t="str">
        <x:v>pasuje – BI i informacja</x:v>
      </x:c>
      <x:c r="W51" s="269" t="str">
        <x:v>archiwalna / do weryfikacji</x:v>
      </x:c>
      <x:c r="X51" s="269" t="str">
        <x:v>No</x:v>
      </x:c>
      <x:c r="Y51" s="269" t="str">
        <x:v>No</x:v>
      </x:c>
    </x:row>
    <x:row r="52">
      <x:c r="A52" s="269" t="str">
        <x:v>51</x:v>
      </x:c>
      <x:c r="B52" s="269" t="str">
        <x:v>Pracuj.pl</x:v>
      </x:c>
      <x:c r="C52" s="269" t="str">
        <x:v>Młodszy Analityk Danych</x:v>
      </x:c>
      <x:c r="D52" s="269" t="str">
        <x:v>Sii Sp. z o.o.</x:v>
      </x:c>
      <x:c r="E52" s="269" t="str">
        <x:v>Warszawa</x:v>
      </x:c>
      <x:c r="F52" s="269" t="str">
        <x:v>junior</x:v>
      </x:c>
      <x:c r="G52" s="269" t="str">
        <x:v>Junior / entry</x:v>
      </x:c>
      <x:c r="H52" s="269" t="str">
        <x:v>brak danych</x:v>
      </x:c>
      <x:c r="I52" s="269" t="str">
        <x:v>Unknown</x:v>
      </x:c>
      <x:c r="J52" s="269" t="str">
        <x:v>brak danych</x:v>
      </x:c>
      <x:c r="K52" s="269" t="str">
        <x:v>Unknown</x:v>
      </x:c>
      <x:c r="L52" s="269" t="str">
        <x:v>analityczne / dane</x:v>
      </x:c>
      <x:c r="M52" s="269" t="str">
        <x:v>Data analysis</x:v>
      </x:c>
      <x:c r="N52" s="269" t="str">
        <x:v>brak danych</x:v>
      </x:c>
      <x:c r="O52" s="269" t="str">
        <x:v>brak danych</x:v>
      </x:c>
      <x:c r="P52" s="269" t="str">
        <x:v>No</x:v>
      </x:c>
      <x:c r="Q52" s="269" t="str">
        <x:v>Needs verification</x:v>
      </x:c>
      <x:c r="R52" s="269" t="str">
        <x:v>https://www.pracuj.pl/praca/mlodszy-analityk-danych-warszawa%2Coferta%2C1001572248</x:v>
      </x:c>
      <x:c r="S52" s="270" t="str">
        <x:v>2026-07-09</x:v>
      </x:c>
      <x:c r="T52" s="269" t="str">
        <x:v>analiza danych</x:v>
      </x:c>
      <x:c r="U52" s="269" t="str">
        <x:v>junior</x:v>
      </x:c>
      <x:c r="V52" s="269" t="str">
        <x:v>pasuje – młodszy analityk danych</x:v>
      </x:c>
      <x:c r="W52" s="269" t="str">
        <x:v>archiwalna / do weryfikacji</x:v>
      </x:c>
      <x:c r="X52" s="269" t="str">
        <x:v>No</x:v>
      </x:c>
      <x:c r="Y52" s="269" t="str">
        <x:v>No</x:v>
      </x:c>
    </x:row>
    <x:row r="53">
      <x:c r="A53" s="269" t="str">
        <x:v>52</x:v>
      </x:c>
      <x:c r="B53" s="269" t="str">
        <x:v>Pracuj.pl</x:v>
      </x:c>
      <x:c r="C53" s="269" t="str">
        <x:v>Młodszy Analityk Danych</x:v>
      </x:c>
      <x:c r="D53" s="269" t="str">
        <x:v>GEODIS Poland Sp. z o.o.</x:v>
      </x:c>
      <x:c r="E53" s="269" t="str">
        <x:v>Warszawa</x:v>
      </x:c>
      <x:c r="F53" s="269" t="str">
        <x:v>junior</x:v>
      </x:c>
      <x:c r="G53" s="269" t="str">
        <x:v>Junior / entry</x:v>
      </x:c>
      <x:c r="H53" s="269" t="str">
        <x:v>stacjonarna</x:v>
      </x:c>
      <x:c r="I53" s="269" t="str">
        <x:v>On-site</x:v>
      </x:c>
      <x:c r="J53" s="269" t="str">
        <x:v>umowa o pracę</x:v>
      </x:c>
      <x:c r="K53" s="269" t="str">
        <x:v>Employment contract</x:v>
      </x:c>
      <x:c r="L53" s="269" t="str">
        <x:v>analityczne / logistyka</x:v>
      </x:c>
      <x:c r="M53" s="269" t="str">
        <x:v>Data analysis</x:v>
      </x:c>
      <x:c r="N53" s="269" t="str">
        <x:v>brak danych</x:v>
      </x:c>
      <x:c r="O53" s="269" t="str">
        <x:v>brak danych</x:v>
      </x:c>
      <x:c r="P53" s="269" t="str">
        <x:v>No</x:v>
      </x:c>
      <x:c r="Q53" s="269" t="str">
        <x:v>Needs verification</x:v>
      </x:c>
      <x:c r="R53" s="269" t="str">
        <x:v>https://www.pracuj.pl/praca/mlodszy-analityk-danych-warszawa-postepu-17b%2Coferta%2C1004375905</x:v>
      </x:c>
      <x:c r="S53" s="270" t="str">
        <x:v>2026-07-09</x:v>
      </x:c>
      <x:c r="T53" s="269" t="str">
        <x:v>analiza danych, logistyczne informacje organizacyjne</x:v>
      </x:c>
      <x:c r="U53" s="269" t="str">
        <x:v>angielski</x:v>
      </x:c>
      <x:c r="V53" s="269" t="str">
        <x:v>pasuje – dane, analiza, logistyka</x:v>
      </x:c>
      <x:c r="W53" s="269" t="str">
        <x:v>archiwalna / do weryfikacji</x:v>
      </x:c>
      <x:c r="X53" s="269" t="str">
        <x:v>No</x:v>
      </x:c>
      <x:c r="Y53" s="269" t="str">
        <x:v>No</x:v>
      </x:c>
    </x:row>
    <x:row r="54">
      <x:c r="A54" s="269" t="str">
        <x:v>53</x:v>
      </x:c>
      <x:c r="B54" s="269" t="str">
        <x:v>Pracuj.pl</x:v>
      </x:c>
      <x:c r="C54" s="269" t="str">
        <x:v>Młodszy Analityk Danych (LUX MED Ubezpieczenia)</x:v>
      </x:c>
      <x:c r="D54" s="269" t="str">
        <x:v>LUX MED Sp. z o.o.</x:v>
      </x:c>
      <x:c r="E54" s="269" t="str">
        <x:v>Warszawa</x:v>
      </x:c>
      <x:c r="F54" s="269" t="str">
        <x:v>mid</x:v>
      </x:c>
      <x:c r="G54" s="269" t="str">
        <x:v>Mid+</x:v>
      </x:c>
      <x:c r="H54" s="269" t="str">
        <x:v>hybrydowa</x:v>
      </x:c>
      <x:c r="I54" s="269" t="str">
        <x:v>Hybrid</x:v>
      </x:c>
      <x:c r="J54" s="269" t="str">
        <x:v>umowa o pracę</x:v>
      </x:c>
      <x:c r="K54" s="269" t="str">
        <x:v>Employment contract</x:v>
      </x:c>
      <x:c r="L54" s="269" t="str">
        <x:v>analityczne / ubezpieczenia</x:v>
      </x:c>
      <x:c r="M54" s="269" t="str">
        <x:v>Data analysis</x:v>
      </x:c>
      <x:c r="N54" s="269" t="str">
        <x:v>brak danych</x:v>
      </x:c>
      <x:c r="O54" s="269" t="str">
        <x:v>brak danych</x:v>
      </x:c>
      <x:c r="P54" s="269" t="str">
        <x:v>No</x:v>
      </x:c>
      <x:c r="Q54" s="269" t="str">
        <x:v>Needs verification</x:v>
      </x:c>
      <x:c r="R54" s="269" t="str">
        <x:v>https://www.pracuj.pl/praca/mlodszy-analityk-danych-lux-med-ubezpieczenia-warszawa-szturmowa-2%2Coferta%2C1003971191</x:v>
      </x:c>
      <x:c r="S54" s="270" t="str">
        <x:v>2026-07-09</x:v>
      </x:c>
      <x:c r="T54" s="269" t="str">
        <x:v>analiza danych</x:v>
      </x:c>
      <x:c r="U54" s="269" t="str">
        <x:v>mid</x:v>
      </x:c>
      <x:c r="V54" s="269" t="str">
        <x:v>pasuje merytorycznie, ale poziom wyższy</x:v>
      </x:c>
      <x:c r="W54" s="269" t="str">
        <x:v>archiwalna / do weryfikacji</x:v>
      </x:c>
      <x:c r="X54" s="269" t="str">
        <x:v>No</x:v>
      </x:c>
      <x:c r="Y54" s="269" t="str">
        <x:v>No</x:v>
      </x:c>
    </x:row>
    <x:row r="55">
      <x:c r="A55" s="269" t="str">
        <x:v>54</x:v>
      </x:c>
      <x:c r="B55" s="269" t="str">
        <x:v>Pracuj.pl</x:v>
      </x:c>
      <x:c r="C55" s="269" t="str">
        <x:v>Młodszy analityk danych w Zespole Wsparcia Ryzyka</x:v>
      </x:c>
      <x:c r="D55" s="269" t="str">
        <x:v>AvaFin</x:v>
      </x:c>
      <x:c r="E55" s="269" t="str">
        <x:v>Warszawa</x:v>
      </x:c>
      <x:c r="F55" s="269" t="str">
        <x:v>junior</x:v>
      </x:c>
      <x:c r="G55" s="269" t="str">
        <x:v>Junior / entry</x:v>
      </x:c>
      <x:c r="H55" s="269" t="str">
        <x:v>hybrydowa</x:v>
      </x:c>
      <x:c r="I55" s="269" t="str">
        <x:v>Hybrid</x:v>
      </x:c>
      <x:c r="J55" s="269" t="str">
        <x:v>umowa o pracę / B2B</x:v>
      </x:c>
      <x:c r="K55" s="269" t="str">
        <x:v>Multiple options</x:v>
      </x:c>
      <x:c r="L55" s="269" t="str">
        <x:v>risk/data</x:v>
      </x:c>
      <x:c r="M55" s="269" t="str">
        <x:v>Data analysis</x:v>
      </x:c>
      <x:c r="N55" s="269" t="str">
        <x:v>brak danych</x:v>
      </x:c>
      <x:c r="O55" s="269" t="str">
        <x:v>brak danych</x:v>
      </x:c>
      <x:c r="P55" s="269" t="str">
        <x:v>No</x:v>
      </x:c>
      <x:c r="Q55" s="269" t="str">
        <x:v>Needs verification</x:v>
      </x:c>
      <x:c r="R55" s="269" t="str">
        <x:v>https://www.pracuj.pl/praca/mlodszy-analityk-danych-w-zespole-wsparcia-ryzyka-warszawa-bukowinska-22%2Coferta%2C1004521274</x:v>
      </x:c>
      <x:c r="S55" s="270" t="str">
        <x:v>2026-07-09</x:v>
      </x:c>
      <x:c r="T55" s="269" t="str">
        <x:v>analiza danych ryzyka</x:v>
      </x:c>
      <x:c r="U55" s="269" t="str">
        <x:v>junior</x:v>
      </x:c>
      <x:c r="V55" s="269" t="str">
        <x:v>pasuje – analiza danych i ryzyko</x:v>
      </x:c>
      <x:c r="W55" s="269" t="str">
        <x:v>archiwalna / do weryfikacji</x:v>
      </x:c>
      <x:c r="X55" s="269" t="str">
        <x:v>No</x:v>
      </x:c>
      <x:c r="Y55" s="269" t="str">
        <x:v>No</x:v>
      </x:c>
    </x:row>
    <x:row r="56">
      <x:c r="A56" s="269" t="str">
        <x:v>55</x:v>
      </x:c>
      <x:c r="B56" s="269" t="str">
        <x:v>Pracuj.pl</x:v>
      </x:c>
      <x:c r="C56" s="269" t="str">
        <x:v>Młodszy Specjalista ds. Raportowania i Analiz Aktuarialnych</x:v>
      </x:c>
      <x:c r="D56" s="269" t="str">
        <x:v>brak danych</x:v>
      </x:c>
      <x:c r="E56" s="269" t="str">
        <x:v>Warszawa</x:v>
      </x:c>
      <x:c r="F56" s="269" t="str">
        <x:v>junior</x:v>
      </x:c>
      <x:c r="G56" s="269" t="str">
        <x:v>Junior / entry</x:v>
      </x:c>
      <x:c r="H56" s="269" t="str">
        <x:v>brak danych</x:v>
      </x:c>
      <x:c r="I56" s="269" t="str">
        <x:v>Unknown</x:v>
      </x:c>
      <x:c r="J56" s="269" t="str">
        <x:v>brak danych</x:v>
      </x:c>
      <x:c r="K56" s="269" t="str">
        <x:v>Unknown</x:v>
      </x:c>
      <x:c r="L56" s="269" t="str">
        <x:v>raportowanie / analizy</x:v>
      </x:c>
      <x:c r="M56" s="269" t="str">
        <x:v>Reporting &amp; BI</x:v>
      </x:c>
      <x:c r="N56" s="269" t="str">
        <x:v>brak danych</x:v>
      </x:c>
      <x:c r="O56" s="269" t="str">
        <x:v>brak danych</x:v>
      </x:c>
      <x:c r="P56" s="269" t="str">
        <x:v>No</x:v>
      </x:c>
      <x:c r="Q56" s="269" t="str">
        <x:v>Needs verification</x:v>
      </x:c>
      <x:c r="R56" s="269" t="str">
        <x:v>https://www.pracuj.pl/praca/mlodszy-specjalista-ds-raportowania-i-analiz-aktuarialnych-mssf17-warszawa%2Coferta%2C1003198446</x:v>
      </x:c>
      <x:c r="S56" s="270" t="str">
        <x:v>2026-07-09</x:v>
      </x:c>
      <x:c r="T56" s="269" t="str">
        <x:v>analizy aktuarialne, raportowanie</x:v>
      </x:c>
      <x:c r="U56" s="269" t="str">
        <x:v>junior</x:v>
      </x:c>
      <x:c r="V56" s="269" t="str">
        <x:v>pasuje – raportowanie i analiza danych</x:v>
      </x:c>
      <x:c r="W56" s="269" t="str">
        <x:v>archiwalna / do weryfikacji</x:v>
      </x:c>
      <x:c r="X56" s="269" t="str">
        <x:v>No</x:v>
      </x:c>
      <x:c r="Y56" s="269" t="str">
        <x:v>No</x:v>
      </x:c>
    </x:row>
    <x:row r="57">
      <x:c r="A57" s="269" t="str">
        <x:v>56</x:v>
      </x:c>
      <x:c r="B57" s="269" t="str">
        <x:v>Pracuj.pl</x:v>
      </x:c>
      <x:c r="C57" s="269" t="str">
        <x:v>Młodszy specjalista ds. raportowania i administracji danych</x:v>
      </x:c>
      <x:c r="D57" s="269" t="str">
        <x:v>PRO PEOPLE Sp. z o.o.</x:v>
      </x:c>
      <x:c r="E57" s="269" t="str">
        <x:v>Warszawa</x:v>
      </x:c>
      <x:c r="F57" s="269" t="str">
        <x:v>junior</x:v>
      </x:c>
      <x:c r="G57" s="269" t="str">
        <x:v>Junior / entry</x:v>
      </x:c>
      <x:c r="H57" s="269" t="str">
        <x:v>stacjonarna</x:v>
      </x:c>
      <x:c r="I57" s="269" t="str">
        <x:v>On-site</x:v>
      </x:c>
      <x:c r="J57" s="269" t="str">
        <x:v>umowa o pracę / B2B</x:v>
      </x:c>
      <x:c r="K57" s="269" t="str">
        <x:v>Multiple options</x:v>
      </x:c>
      <x:c r="L57" s="269" t="str">
        <x:v>raportowanie / administracja danych</x:v>
      </x:c>
      <x:c r="M57" s="269" t="str">
        <x:v>Reporting &amp; BI</x:v>
      </x:c>
      <x:c r="N57" s="269" t="str">
        <x:v>brak danych</x:v>
      </x:c>
      <x:c r="O57" s="269" t="str">
        <x:v>brak danych</x:v>
      </x:c>
      <x:c r="P57" s="269" t="str">
        <x:v>No</x:v>
      </x:c>
      <x:c r="Q57" s="269" t="str">
        <x:v>Needs verification</x:v>
      </x:c>
      <x:c r="R57" s="269" t="str">
        <x:v>https://www.pracuj.pl/praca/mlodszy-specjalista-ds-raportowania-i-administracji-danych-warszawa-rownolegla-4a%2Coferta%2C1002546199</x:v>
      </x:c>
      <x:c r="S57" s="270" t="str">
        <x:v>2026-07-09</x:v>
      </x:c>
      <x:c r="T57" s="269" t="str">
        <x:v>raportowanie, administracja danych</x:v>
      </x:c>
      <x:c r="U57" s="269" t="str">
        <x:v>junior</x:v>
      </x:c>
      <x:c r="V57" s="269" t="str">
        <x:v>pasuje – raportowanie i administracja danych</x:v>
      </x:c>
      <x:c r="W57" s="269" t="str">
        <x:v>archiwalna / do weryfikacji</x:v>
      </x:c>
      <x:c r="X57" s="269" t="str">
        <x:v>No</x:v>
      </x:c>
      <x:c r="Y57" s="269" t="str">
        <x:v>No</x:v>
      </x:c>
    </x:row>
    <x:row r="58">
      <x:c r="A58" s="269" t="str">
        <x:v>57</x:v>
      </x:c>
      <x:c r="B58" s="269" t="str">
        <x:v>Pracuj.pl</x:v>
      </x:c>
      <x:c r="C58" s="269" t="str">
        <x:v>Junior Reporting Analyst</x:v>
      </x:c>
      <x:c r="D58" s="269" t="str">
        <x:v>Cheil Poland</x:v>
      </x:c>
      <x:c r="E58" s="269" t="str">
        <x:v>Warszawa</x:v>
      </x:c>
      <x:c r="F58" s="269" t="str">
        <x:v>junior</x:v>
      </x:c>
      <x:c r="G58" s="269" t="str">
        <x:v>Junior / entry</x:v>
      </x:c>
      <x:c r="H58" s="269" t="str">
        <x:v>brak danych</x:v>
      </x:c>
      <x:c r="I58" s="269" t="str">
        <x:v>Unknown</x:v>
      </x:c>
      <x:c r="J58" s="269" t="str">
        <x:v>brak danych</x:v>
      </x:c>
      <x:c r="K58" s="269" t="str">
        <x:v>Unknown</x:v>
      </x:c>
      <x:c r="L58" s="269" t="str">
        <x:v>raportowanie</x:v>
      </x:c>
      <x:c r="M58" s="269" t="str">
        <x:v>Reporting &amp; BI</x:v>
      </x:c>
      <x:c r="N58" s="269" t="str">
        <x:v>brak danych</x:v>
      </x:c>
      <x:c r="O58" s="269" t="str">
        <x:v>brak danych</x:v>
      </x:c>
      <x:c r="P58" s="269" t="str">
        <x:v>No</x:v>
      </x:c>
      <x:c r="Q58" s="269" t="str">
        <x:v>Needs verification</x:v>
      </x:c>
      <x:c r="R58" s="269" t="str">
        <x:v>https://www.pracuj.pl/praca/junior-reporting-analyst-warszawa%2Coferta%2C1000290313</x:v>
      </x:c>
      <x:c r="S58" s="270" t="str">
        <x:v>2026-07-09</x:v>
      </x:c>
      <x:c r="T58" s="269" t="str">
        <x:v>raportowanie, analiza danych</x:v>
      </x:c>
      <x:c r="U58" s="269" t="str">
        <x:v>junior</x:v>
      </x:c>
      <x:c r="V58" s="269" t="str">
        <x:v>pasuje – reporting analyst</x:v>
      </x:c>
      <x:c r="W58" s="269" t="str">
        <x:v>archiwalna / do weryfikacji</x:v>
      </x:c>
      <x:c r="X58" s="269" t="str">
        <x:v>No</x:v>
      </x:c>
      <x:c r="Y58" s="269" t="str">
        <x:v>No</x:v>
      </x:c>
    </x:row>
    <x:row r="59">
      <x:c r="A59" s="269" t="str">
        <x:v>58</x:v>
      </x:c>
      <x:c r="B59" s="269" t="str">
        <x:v>Pracuj.pl</x:v>
      </x:c>
      <x:c r="C59" s="269" t="str">
        <x:v>Junior Reporting Analyst</x:v>
      </x:c>
      <x:c r="D59" s="269" t="str">
        <x:v>DLA PIPER GSC Poland</x:v>
      </x:c>
      <x:c r="E59" s="269" t="str">
        <x:v>Warszawa</x:v>
      </x:c>
      <x:c r="F59" s="269" t="str">
        <x:v>junior</x:v>
      </x:c>
      <x:c r="G59" s="269" t="str">
        <x:v>Junior / entry</x:v>
      </x:c>
      <x:c r="H59" s="269" t="str">
        <x:v>hybrydowa</x:v>
      </x:c>
      <x:c r="I59" s="269" t="str">
        <x:v>Hybrid</x:v>
      </x:c>
      <x:c r="J59" s="269" t="str">
        <x:v>umowa o pracę</x:v>
      </x:c>
      <x:c r="K59" s="269" t="str">
        <x:v>Employment contract</x:v>
      </x:c>
      <x:c r="L59" s="269" t="str">
        <x:v>raportowanie</x:v>
      </x:c>
      <x:c r="M59" s="269" t="str">
        <x:v>Reporting &amp; BI</x:v>
      </x:c>
      <x:c r="N59" s="269" t="str">
        <x:v>brak danych</x:v>
      </x:c>
      <x:c r="O59" s="269" t="str">
        <x:v>brak danych</x:v>
      </x:c>
      <x:c r="P59" s="269" t="str">
        <x:v>No</x:v>
      </x:c>
      <x:c r="Q59" s="269" t="str">
        <x:v>Needs verification</x:v>
      </x:c>
      <x:c r="R59" s="269" t="str">
        <x:v>https://www.pracuj.pl/praca/junior-reporting-analyst-warszawa%2Coferta%2C1002186914</x:v>
      </x:c>
      <x:c r="S59" s="270" t="str">
        <x:v>2026-07-09</x:v>
      </x:c>
      <x:c r="T59" s="269" t="str">
        <x:v>standardowe i ad hoc raporty, SLA, obsługa klientów wewn./zewn.</x:v>
      </x:c>
      <x:c r="U59" s="269" t="str">
        <x:v>junior</x:v>
      </x:c>
      <x:c r="V59" s="269" t="str">
        <x:v>bardzo pasuje – raportowanie i obieg informacji</x:v>
      </x:c>
      <x:c r="W59" s="269" t="str">
        <x:v>archiwalna / do weryfikacji</x:v>
      </x:c>
      <x:c r="X59" s="269" t="str">
        <x:v>No</x:v>
      </x:c>
      <x:c r="Y59" s="269" t="str">
        <x:v>No</x:v>
      </x:c>
    </x:row>
    <x:row r="60">
      <x:c r="A60" s="269" t="str">
        <x:v>59</x:v>
      </x:c>
      <x:c r="B60" s="269" t="str">
        <x:v>Pracuj.pl</x:v>
      </x:c>
      <x:c r="C60" s="269" t="str">
        <x:v>Junior Reporting Analyst (entry level)</x:v>
      </x:c>
      <x:c r="D60" s="269" t="str">
        <x:v>Citi Poland</x:v>
      </x:c>
      <x:c r="E60" s="269" t="str">
        <x:v>Warszawa</x:v>
      </x:c>
      <x:c r="F60" s="269" t="str">
        <x:v>entry-level/junior</x:v>
      </x:c>
      <x:c r="G60" s="269" t="str">
        <x:v>Junior / entry</x:v>
      </x:c>
      <x:c r="H60" s="269" t="str">
        <x:v>brak danych</x:v>
      </x:c>
      <x:c r="I60" s="269" t="str">
        <x:v>Unknown</x:v>
      </x:c>
      <x:c r="J60" s="269" t="str">
        <x:v>umowa o pracę</x:v>
      </x:c>
      <x:c r="K60" s="269" t="str">
        <x:v>Employment contract</x:v>
      </x:c>
      <x:c r="L60" s="269" t="str">
        <x:v>raportowanie</x:v>
      </x:c>
      <x:c r="M60" s="269" t="str">
        <x:v>Reporting &amp; BI</x:v>
      </x:c>
      <x:c r="N60" s="269" t="str">
        <x:v>brak danych</x:v>
      </x:c>
      <x:c r="O60" s="269" t="str">
        <x:v>brak danych</x:v>
      </x:c>
      <x:c r="P60" s="269" t="str">
        <x:v>No</x:v>
      </x:c>
      <x:c r="Q60" s="269" t="str">
        <x:v>Needs verification</x:v>
      </x:c>
      <x:c r="R60" s="269" t="str">
        <x:v>https://www.pracuj.pl/praca/junior-reporting-analyst-entry-level-warszawa%2Coferta%2C1001670660</x:v>
      </x:c>
      <x:c r="S60" s="270" t="str">
        <x:v>2026-07-09</x:v>
      </x:c>
      <x:c r="T60" s="269" t="str">
        <x:v>raportowanie, dane finansowe</x:v>
      </x:c>
      <x:c r="U60" s="269" t="str">
        <x:v>entry-level</x:v>
      </x:c>
      <x:c r="V60" s="269" t="str">
        <x:v>bardzo pasuje – entry-level reporting</x:v>
      </x:c>
      <x:c r="W60" s="269" t="str">
        <x:v>archiwalna / do weryfikacji</x:v>
      </x:c>
      <x:c r="X60" s="269" t="str">
        <x:v>No</x:v>
      </x:c>
      <x:c r="Y60" s="269" t="str">
        <x:v>No</x:v>
      </x:c>
    </x:row>
    <x:row r="61">
      <x:c r="A61" s="269" t="str">
        <x:v>60</x:v>
      </x:c>
      <x:c r="B61" s="269" t="str">
        <x:v>Pracuj.pl</x:v>
      </x:c>
      <x:c r="C61" s="269" t="str">
        <x:v>Junior Reporting Analyst with Spanish</x:v>
      </x:c>
      <x:c r="D61" s="269" t="str">
        <x:v>PepsiCo</x:v>
      </x:c>
      <x:c r="E61" s="269" t="str">
        <x:v>Kraków</x:v>
      </x:c>
      <x:c r="F61" s="269" t="str">
        <x:v>junior</x:v>
      </x:c>
      <x:c r="G61" s="269" t="str">
        <x:v>Junior / entry</x:v>
      </x:c>
      <x:c r="H61" s="269" t="str">
        <x:v>brak danych</x:v>
      </x:c>
      <x:c r="I61" s="269" t="str">
        <x:v>Unknown</x:v>
      </x:c>
      <x:c r="J61" s="269" t="str">
        <x:v>brak danych</x:v>
      </x:c>
      <x:c r="K61" s="269" t="str">
        <x:v>Unknown</x:v>
      </x:c>
      <x:c r="L61" s="269" t="str">
        <x:v>raportowanie / języki</x:v>
      </x:c>
      <x:c r="M61" s="269" t="str">
        <x:v>Reporting &amp; BI</x:v>
      </x:c>
      <x:c r="N61" s="269" t="str">
        <x:v>brak danych</x:v>
      </x:c>
      <x:c r="O61" s="269" t="str">
        <x:v>brak danych</x:v>
      </x:c>
      <x:c r="P61" s="269" t="str">
        <x:v>No</x:v>
      </x:c>
      <x:c r="Q61" s="269" t="str">
        <x:v>Needs verification</x:v>
      </x:c>
      <x:c r="R61" s="269" t="str">
        <x:v>https://www.pracuj.pl/praca/junior-reporting-analyst-with-spanish-krakow%2Coferta%2C1000220904</x:v>
      </x:c>
      <x:c r="S61" s="270" t="str">
        <x:v>2026-07-09</x:v>
      </x:c>
      <x:c r="T61" s="269" t="str">
        <x:v>raportowanie, język hiszpański</x:v>
      </x:c>
      <x:c r="U61" s="269" t="str">
        <x:v>junior</x:v>
      </x:c>
      <x:c r="V61" s="269" t="str">
        <x:v>pasuje – raportowanie i informacja</x:v>
      </x:c>
      <x:c r="W61" s="269" t="str">
        <x:v>archiwalna / do weryfikacji</x:v>
      </x:c>
      <x:c r="X61" s="269" t="str">
        <x:v>No</x:v>
      </x:c>
      <x:c r="Y61" s="269" t="str">
        <x:v>No</x:v>
      </x:c>
    </x:row>
    <x:row r="62">
      <x:c r="A62" s="269" t="str">
        <x:v>61</x:v>
      </x:c>
      <x:c r="B62" s="269" t="str">
        <x:v>Pracuj.pl</x:v>
      </x:c>
      <x:c r="C62" s="269" t="str">
        <x:v>Junior Reporting Analyst with German (B1)</x:v>
      </x:c>
      <x:c r="D62" s="269" t="str">
        <x:v>Lufthansa Group Business Services Sp. z o.o.</x:v>
      </x:c>
      <x:c r="E62" s="269" t="str">
        <x:v>Kraków</x:v>
      </x:c>
      <x:c r="F62" s="269" t="str">
        <x:v>junior/mid</x:v>
      </x:c>
      <x:c r="G62" s="269" t="str">
        <x:v>Junior–Mid</x:v>
      </x:c>
      <x:c r="H62" s="269" t="str">
        <x:v>hybrydowa</x:v>
      </x:c>
      <x:c r="I62" s="269" t="str">
        <x:v>Hybrid</x:v>
      </x:c>
      <x:c r="J62" s="269" t="str">
        <x:v>umowa o pracę</x:v>
      </x:c>
      <x:c r="K62" s="269" t="str">
        <x:v>Employment contract</x:v>
      </x:c>
      <x:c r="L62" s="269" t="str">
        <x:v>raportowanie / języki</x:v>
      </x:c>
      <x:c r="M62" s="269" t="str">
        <x:v>Reporting &amp; BI</x:v>
      </x:c>
      <x:c r="N62" s="269" t="str">
        <x:v>brak danych</x:v>
      </x:c>
      <x:c r="O62" s="269" t="str">
        <x:v>brak danych</x:v>
      </x:c>
      <x:c r="P62" s="269" t="str">
        <x:v>No</x:v>
      </x:c>
      <x:c r="Q62" s="269" t="str">
        <x:v>Needs verification</x:v>
      </x:c>
      <x:c r="R62" s="269" t="str">
        <x:v>https://www.pracuj.pl/praca/junior-reporting-analyst-with-german-b1-krakow-wadowicka-3b%2Coferta%2C1003725453</x:v>
      </x:c>
      <x:c r="S62" s="270" t="str">
        <x:v>2026-07-09</x:v>
      </x:c>
      <x:c r="T62" s="269" t="str">
        <x:v>raportowanie, praca z danymi</x:v>
      </x:c>
      <x:c r="U62" s="269" t="str">
        <x:v>angielski, niemiecki</x:v>
      </x:c>
      <x:c r="V62" s="269" t="str">
        <x:v>pasuje – raportowanie i dane</x:v>
      </x:c>
      <x:c r="W62" s="269" t="str">
        <x:v>archiwalna / do weryfikacji</x:v>
      </x:c>
      <x:c r="X62" s="269" t="str">
        <x:v>No</x:v>
      </x:c>
      <x:c r="Y62" s="269" t="str">
        <x:v>No</x:v>
      </x:c>
    </x:row>
    <x:row r="63">
      <x:c r="A63" s="269" t="str">
        <x:v>62</x:v>
      </x:c>
      <x:c r="B63" s="269" t="str">
        <x:v>Pracuj.pl</x:v>
      </x:c>
      <x:c r="C63" s="269" t="str">
        <x:v>Junior Business Analyst</x:v>
      </x:c>
      <x:c r="D63" s="269" t="str">
        <x:v>PAVE POLAND sp. z o.o.</x:v>
      </x:c>
      <x:c r="E63" s="269" t="str">
        <x:v>Warszawa</x:v>
      </x:c>
      <x:c r="F63" s="269" t="str">
        <x:v>junior</x:v>
      </x:c>
      <x:c r="G63" s="269" t="str">
        <x:v>Junior / entry</x:v>
      </x:c>
      <x:c r="H63" s="269" t="str">
        <x:v>hybrydowa</x:v>
      </x:c>
      <x:c r="I63" s="269" t="str">
        <x:v>Hybrid</x:v>
      </x:c>
      <x:c r="J63" s="269" t="str">
        <x:v>umowa o pracę</x:v>
      </x:c>
      <x:c r="K63" s="269" t="str">
        <x:v>Employment contract</x:v>
      </x:c>
      <x:c r="L63" s="269" t="str">
        <x:v>analiza biznesowa</x:v>
      </x:c>
      <x:c r="M63" s="269" t="str">
        <x:v>Business &amp; systems analysis</x:v>
      </x:c>
      <x:c r="N63" s="269" t="str">
        <x:v>brak danych</x:v>
      </x:c>
      <x:c r="O63" s="269" t="str">
        <x:v>6 500–9 000 zł brutto/mies.</x:v>
      </x:c>
      <x:c r="P63" s="269" t="str">
        <x:v>Yes</x:v>
      </x:c>
      <x:c r="Q63" s="269" t="str">
        <x:v>Needs verification</x:v>
      </x:c>
      <x:c r="R63" s="269" t="str">
        <x:v>https://www.pracuj.pl/praca/junior-business-analyst-warszawa-chmielna-73%2Coferta%2C1004245129</x:v>
      </x:c>
      <x:c r="S63" s="270" t="str">
        <x:v>2026-07-09</x:v>
      </x:c>
      <x:c r="T63" s="269" t="str">
        <x:v>analiza biznesowa, product management</x:v>
      </x:c>
      <x:c r="U63" s="269" t="str">
        <x:v>junior</x:v>
      </x:c>
      <x:c r="V63" s="269" t="str">
        <x:v>pasuje – junior business analyst</x:v>
      </x:c>
      <x:c r="W63" s="269" t="str">
        <x:v>archiwalna / do weryfikacji</x:v>
      </x:c>
      <x:c r="X63" s="269" t="str">
        <x:v>No</x:v>
      </x:c>
      <x:c r="Y63" s="269" t="str">
        <x:v>No</x:v>
      </x:c>
    </x:row>
    <x:row r="64">
      <x:c r="A64" s="269" t="str">
        <x:v>63</x:v>
      </x:c>
      <x:c r="B64" s="269" t="str">
        <x:v>Pracuj.pl</x:v>
      </x:c>
      <x:c r="C64" s="269" t="str">
        <x:v>Junior Business Analyst</x:v>
      </x:c>
      <x:c r="D64" s="269" t="str">
        <x:v>ASTEK Polska</x:v>
      </x:c>
      <x:c r="E64" s="269" t="str">
        <x:v>Warszawa</x:v>
      </x:c>
      <x:c r="F64" s="269" t="str">
        <x:v>junior</x:v>
      </x:c>
      <x:c r="G64" s="269" t="str">
        <x:v>Junior / entry</x:v>
      </x:c>
      <x:c r="H64" s="269" t="str">
        <x:v>hybrydowa</x:v>
      </x:c>
      <x:c r="I64" s="269" t="str">
        <x:v>Hybrid</x:v>
      </x:c>
      <x:c r="J64" s="269" t="str">
        <x:v>umowa o pracę / B2B</x:v>
      </x:c>
      <x:c r="K64" s="269" t="str">
        <x:v>Multiple options</x:v>
      </x:c>
      <x:c r="L64" s="269" t="str">
        <x:v>analiza biznesowa</x:v>
      </x:c>
      <x:c r="M64" s="269" t="str">
        <x:v>Business &amp; systems analysis</x:v>
      </x:c>
      <x:c r="N64" s="269" t="str">
        <x:v>MS Office</x:v>
      </x:c>
      <x:c r="O64" s="269" t="str">
        <x:v>5 500–6 500 zł brutto/mies.</x:v>
      </x:c>
      <x:c r="P64" s="269" t="str">
        <x:v>Yes</x:v>
      </x:c>
      <x:c r="Q64" s="269" t="str">
        <x:v>Needs verification</x:v>
      </x:c>
      <x:c r="R64" s="269" t="str">
        <x:v>https://www.pracuj.pl/praca/junior-business-analyst-warszawa%2Coferta%2C1003417098</x:v>
      </x:c>
      <x:c r="S64" s="270" t="str">
        <x:v>2026-07-09</x:v>
      </x:c>
      <x:c r="T64" s="269" t="str">
        <x:v>dokumenty, raporty, komunikacja z interesariuszami</x:v>
      </x:c>
      <x:c r="U64" s="269" t="str">
        <x:v>junior</x:v>
      </x:c>
      <x:c r="V64" s="269" t="str">
        <x:v>bardzo pasuje – dokumenty, raporty, analiza biznesowa</x:v>
      </x:c>
      <x:c r="W64" s="269" t="str">
        <x:v>archiwalna / do weryfikacji</x:v>
      </x:c>
      <x:c r="X64" s="269" t="str">
        <x:v>No</x:v>
      </x:c>
      <x:c r="Y64" s="269" t="str">
        <x:v>No</x:v>
      </x:c>
    </x:row>
    <x:row r="65">
      <x:c r="A65" s="269" t="str">
        <x:v>64</x:v>
      </x:c>
      <x:c r="B65" s="269" t="str">
        <x:v>Pracuj.pl</x:v>
      </x:c>
      <x:c r="C65" s="269" t="str">
        <x:v>Junior Business Analyst</x:v>
      </x:c>
      <x:c r="D65" s="269" t="str">
        <x:v>Randstad Polska Sp. z o.o.</x:v>
      </x:c>
      <x:c r="E65" s="269" t="str">
        <x:v>Warszawa</x:v>
      </x:c>
      <x:c r="F65" s="269" t="str">
        <x:v>junior</x:v>
      </x:c>
      <x:c r="G65" s="269" t="str">
        <x:v>Junior / entry</x:v>
      </x:c>
      <x:c r="H65" s="269" t="str">
        <x:v>hybrydowa</x:v>
      </x:c>
      <x:c r="I65" s="269" t="str">
        <x:v>Hybrid</x:v>
      </x:c>
      <x:c r="J65" s="269" t="str">
        <x:v>umowa o pracę</x:v>
      </x:c>
      <x:c r="K65" s="269" t="str">
        <x:v>Employment contract</x:v>
      </x:c>
      <x:c r="L65" s="269" t="str">
        <x:v>analiza biznesowa</x:v>
      </x:c>
      <x:c r="M65" s="269" t="str">
        <x:v>Business &amp; systems analysis</x:v>
      </x:c>
      <x:c r="N65" s="269" t="str">
        <x:v>brak danych</x:v>
      </x:c>
      <x:c r="O65" s="269" t="str">
        <x:v>brak danych</x:v>
      </x:c>
      <x:c r="P65" s="269" t="str">
        <x:v>No</x:v>
      </x:c>
      <x:c r="Q65" s="269" t="str">
        <x:v>Needs verification</x:v>
      </x:c>
      <x:c r="R65" s="269" t="str">
        <x:v>https://www.pracuj.pl/praca/junior-business-analyst-warszawa%2Coferta%2C1002095371</x:v>
      </x:c>
      <x:c r="S65" s="270" t="str">
        <x:v>2026-07-09</x:v>
      </x:c>
      <x:c r="T65" s="269" t="str">
        <x:v>analiza biznesowa</x:v>
      </x:c>
      <x:c r="U65" s="269" t="str">
        <x:v>junior</x:v>
      </x:c>
      <x:c r="V65" s="269" t="str">
        <x:v>pasuje – junior business analyst</x:v>
      </x:c>
      <x:c r="W65" s="269" t="str">
        <x:v>archiwalna / do weryfikacji</x:v>
      </x:c>
      <x:c r="X65" s="269" t="str">
        <x:v>No</x:v>
      </x:c>
      <x:c r="Y65" s="269" t="str">
        <x:v>No</x:v>
      </x:c>
    </x:row>
    <x:row r="66">
      <x:c r="A66" s="269" t="str">
        <x:v>65</x:v>
      </x:c>
      <x:c r="B66" s="269" t="str">
        <x:v>Pracuj.pl</x:v>
      </x:c>
      <x:c r="C66" s="269" t="str">
        <x:v>Junior Business Analyst</x:v>
      </x:c>
      <x:c r="D66" s="269" t="str">
        <x:v>Integral Solutions</x:v>
      </x:c>
      <x:c r="E66" s="269" t="str">
        <x:v>Warszawa</x:v>
      </x:c>
      <x:c r="F66" s="269" t="str">
        <x:v>junior</x:v>
      </x:c>
      <x:c r="G66" s="269" t="str">
        <x:v>Junior / entry</x:v>
      </x:c>
      <x:c r="H66" s="269" t="str">
        <x:v>brak danych</x:v>
      </x:c>
      <x:c r="I66" s="269" t="str">
        <x:v>Unknown</x:v>
      </x:c>
      <x:c r="J66" s="269" t="str">
        <x:v>brak danych</x:v>
      </x:c>
      <x:c r="K66" s="269" t="str">
        <x:v>Unknown</x:v>
      </x:c>
      <x:c r="L66" s="269" t="str">
        <x:v>analiza biznesowa/systemowa</x:v>
      </x:c>
      <x:c r="M66" s="269" t="str">
        <x:v>Business &amp; systems analysis</x:v>
      </x:c>
      <x:c r="N66" s="269" t="str">
        <x:v>brak danych</x:v>
      </x:c>
      <x:c r="O66" s="269" t="str">
        <x:v>brak danych</x:v>
      </x:c>
      <x:c r="P66" s="269" t="str">
        <x:v>No</x:v>
      </x:c>
      <x:c r="Q66" s="269" t="str">
        <x:v>Needs verification</x:v>
      </x:c>
      <x:c r="R66" s="269" t="str">
        <x:v>https://www.pracuj.pl/praca/junior-business-analyst-warszawa%2Coferta%2C1004695678</x:v>
      </x:c>
      <x:c r="S66" s="270" t="str">
        <x:v>2026-07-09</x:v>
      </x:c>
      <x:c r="T66" s="269" t="str">
        <x:v>analiza biznesowa i systemowa</x:v>
      </x:c>
      <x:c r="U66" s="269" t="str">
        <x:v>junior</x:v>
      </x:c>
      <x:c r="V66" s="269" t="str">
        <x:v>pasuje – business/system analyst</x:v>
      </x:c>
      <x:c r="W66" s="269" t="str">
        <x:v>archiwalna / do weryfikacji</x:v>
      </x:c>
      <x:c r="X66" s="269" t="str">
        <x:v>No</x:v>
      </x:c>
      <x:c r="Y66" s="269" t="str">
        <x:v>No</x:v>
      </x:c>
    </x:row>
    <x:row r="67">
      <x:c r="A67" s="269" t="str">
        <x:v>66</x:v>
      </x:c>
      <x:c r="B67" s="269" t="str">
        <x:v>Pracuj.pl</x:v>
      </x:c>
      <x:c r="C67" s="269" t="str">
        <x:v>Junior Business Analyst (Talent Program)</x:v>
      </x:c>
      <x:c r="D67" s="269" t="str">
        <x:v>BEC Poland</x:v>
      </x:c>
      <x:c r="E67" s="269" t="str">
        <x:v>Warszawa</x:v>
      </x:c>
      <x:c r="F67" s="269" t="str">
        <x:v>junior</x:v>
      </x:c>
      <x:c r="G67" s="269" t="str">
        <x:v>Junior / entry</x:v>
      </x:c>
      <x:c r="H67" s="269" t="str">
        <x:v>hybrydowa</x:v>
      </x:c>
      <x:c r="I67" s="269" t="str">
        <x:v>Hybrid</x:v>
      </x:c>
      <x:c r="J67" s="269" t="str">
        <x:v>umowa o pracę</x:v>
      </x:c>
      <x:c r="K67" s="269" t="str">
        <x:v>Employment contract</x:v>
      </x:c>
      <x:c r="L67" s="269" t="str">
        <x:v>analiza biznesowa / program talentowy</x:v>
      </x:c>
      <x:c r="M67" s="269" t="str">
        <x:v>Business &amp; systems analysis</x:v>
      </x:c>
      <x:c r="N67" s="269" t="str">
        <x:v>brak danych</x:v>
      </x:c>
      <x:c r="O67" s="269" t="str">
        <x:v>6 000 zł brutto/mies.</x:v>
      </x:c>
      <x:c r="P67" s="269" t="str">
        <x:v>Yes</x:v>
      </x:c>
      <x:c r="Q67" s="269" t="str">
        <x:v>Needs verification</x:v>
      </x:c>
      <x:c r="R67" s="269" t="str">
        <x:v>https://www.pracuj.pl/praca/junior-business-analyst-talent-program-warszawa%2Coferta%2C1001630813</x:v>
      </x:c>
      <x:c r="S67" s="270" t="str">
        <x:v>2026-07-09</x:v>
      </x:c>
      <x:c r="T67" s="269" t="str">
        <x:v>analiza biznesowa, program dla początkujących</x:v>
      </x:c>
      <x:c r="U67" s="269" t="str">
        <x:v>junior</x:v>
      </x:c>
      <x:c r="V67" s="269" t="str">
        <x:v>bardzo pasuje – entry-level/talent program</x:v>
      </x:c>
      <x:c r="W67" s="269" t="str">
        <x:v>archiwalna / do weryfikacji</x:v>
      </x:c>
      <x:c r="X67" s="269" t="str">
        <x:v>No</x:v>
      </x:c>
      <x:c r="Y67" s="269" t="str">
        <x:v>No</x:v>
      </x:c>
    </x:row>
    <x:row r="68">
      <x:c r="A68" s="269" t="str">
        <x:v>67</x:v>
      </x:c>
      <x:c r="B68" s="269" t="str">
        <x:v>Pracuj.pl</x:v>
      </x:c>
      <x:c r="C68" s="269" t="str">
        <x:v>Junior Business Analyst</x:v>
      </x:c>
      <x:c r="D68" s="269" t="str">
        <x:v>Citi Poland</x:v>
      </x:c>
      <x:c r="E68" s="269" t="str">
        <x:v>Warszawa</x:v>
      </x:c>
      <x:c r="F68" s="269" t="str">
        <x:v>junior</x:v>
      </x:c>
      <x:c r="G68" s="269" t="str">
        <x:v>Junior / entry</x:v>
      </x:c>
      <x:c r="H68" s="269" t="str">
        <x:v>brak danych</x:v>
      </x:c>
      <x:c r="I68" s="269" t="str">
        <x:v>Unknown</x:v>
      </x:c>
      <x:c r="J68" s="269" t="str">
        <x:v>brak danych</x:v>
      </x:c>
      <x:c r="K68" s="269" t="str">
        <x:v>Unknown</x:v>
      </x:c>
      <x:c r="L68" s="269" t="str">
        <x:v>analiza biznesowa</x:v>
      </x:c>
      <x:c r="M68" s="269" t="str">
        <x:v>Business &amp; systems analysis</x:v>
      </x:c>
      <x:c r="N68" s="269" t="str">
        <x:v>brak danych</x:v>
      </x:c>
      <x:c r="O68" s="269" t="str">
        <x:v>brak danych</x:v>
      </x:c>
      <x:c r="P68" s="269" t="str">
        <x:v>No</x:v>
      </x:c>
      <x:c r="Q68" s="269" t="str">
        <x:v>Needs verification</x:v>
      </x:c>
      <x:c r="R68" s="269" t="str">
        <x:v>https://www.pracuj.pl/praca/junior-business-analyst-warszawa%2Coferta%2C1001541977</x:v>
      </x:c>
      <x:c r="S68" s="270" t="str">
        <x:v>2026-07-09</x:v>
      </x:c>
      <x:c r="T68" s="269" t="str">
        <x:v>analiza biznesowa</x:v>
      </x:c>
      <x:c r="U68" s="269" t="str">
        <x:v>junior</x:v>
      </x:c>
      <x:c r="V68" s="269" t="str">
        <x:v>pasuje – junior business analyst</x:v>
      </x:c>
      <x:c r="W68" s="269" t="str">
        <x:v>archiwalna / do weryfikacji</x:v>
      </x:c>
      <x:c r="X68" s="269" t="str">
        <x:v>No</x:v>
      </x:c>
      <x:c r="Y68" s="269" t="str">
        <x:v>No</x:v>
      </x:c>
    </x:row>
    <x:row r="69">
      <x:c r="A69" s="269" t="str">
        <x:v>68</x:v>
      </x:c>
      <x:c r="B69" s="269" t="str">
        <x:v>No Fluff Jobs</x:v>
      </x:c>
      <x:c r="C69" s="269" t="str">
        <x:v>Junior Data Analyst</x:v>
      </x:c>
      <x:c r="D69" s="269" t="str">
        <x:v>Experis Polska</x:v>
      </x:c>
      <x:c r="E69" s="269" t="str">
        <x:v>Wrocław</x:v>
      </x:c>
      <x:c r="F69" s="269" t="str">
        <x:v>junior</x:v>
      </x:c>
      <x:c r="G69" s="269" t="str">
        <x:v>Junior / entry</x:v>
      </x:c>
      <x:c r="H69" s="269" t="str">
        <x:v>hybrydowa</x:v>
      </x:c>
      <x:c r="I69" s="269" t="str">
        <x:v>Hybrid</x:v>
      </x:c>
      <x:c r="J69" s="269" t="str">
        <x:v>B2B</x:v>
      </x:c>
      <x:c r="K69" s="269" t="str">
        <x:v>B2B</x:v>
      </x:c>
      <x:c r="L69" s="269" t="str">
        <x:v>data analyst</x:v>
      </x:c>
      <x:c r="M69" s="269" t="str">
        <x:v>Data analysis</x:v>
      </x:c>
      <x:c r="N69" s="269" t="str">
        <x:v>Qlik, UX, SharePoint</x:v>
      </x:c>
      <x:c r="O69" s="269" t="str">
        <x:v>13 440–15 120 PLN + VAT B2B/mies.</x:v>
      </x:c>
      <x:c r="P69" s="269" t="str">
        <x:v>Yes</x:v>
      </x:c>
      <x:c r="Q69" s="269" t="str">
        <x:v>Needs verification</x:v>
      </x:c>
      <x:c r="R69" s="269" t="str">
        <x:v>https://nofluffjobs.com/pl/job/junior-data-analyst-experis-polska-wroclaw</x:v>
      </x:c>
      <x:c r="S69" s="270" t="str">
        <x:v>2026-07-09</x:v>
      </x:c>
      <x:c r="T69" s="269" t="str">
        <x:v>analiza danych, narzędzia danych</x:v>
      </x:c>
      <x:c r="U69" s="269" t="str">
        <x:v>junior</x:v>
      </x:c>
      <x:c r="V69" s="269" t="str">
        <x:v>bardzo pasuje – junior data analyst</x:v>
      </x:c>
      <x:c r="W69" s="269" t="str">
        <x:v>zweryfikować aktualność</x:v>
      </x:c>
      <x:c r="X69" s="269" t="str">
        <x:v>No</x:v>
      </x:c>
      <x:c r="Y69" s="269" t="str">
        <x:v>No</x:v>
      </x:c>
    </x:row>
    <x:row r="70">
      <x:c r="A70" s="269" t="str">
        <x:v>69</x:v>
      </x:c>
      <x:c r="B70" s="269" t="str">
        <x:v>No Fluff Jobs</x:v>
      </x:c>
      <x:c r="C70" s="269" t="str">
        <x:v>Junior Data Analyst</x:v>
      </x:c>
      <x:c r="D70" s="269" t="str">
        <x:v>Antal</x:v>
      </x:c>
      <x:c r="E70" s="269" t="str">
        <x:v>Warszawa</x:v>
      </x:c>
      <x:c r="F70" s="269" t="str">
        <x:v>junior</x:v>
      </x:c>
      <x:c r="G70" s="269" t="str">
        <x:v>Junior / entry</x:v>
      </x:c>
      <x:c r="H70" s="269" t="str">
        <x:v>brak danych</x:v>
      </x:c>
      <x:c r="I70" s="269" t="str">
        <x:v>Unknown</x:v>
      </x:c>
      <x:c r="J70" s="269" t="str">
        <x:v>umowa o pracę</x:v>
      </x:c>
      <x:c r="K70" s="269" t="str">
        <x:v>Employment contract</x:v>
      </x:c>
      <x:c r="L70" s="269" t="str">
        <x:v>data analyst / accounting</x:v>
      </x:c>
      <x:c r="M70" s="269" t="str">
        <x:v>Data analysis</x:v>
      </x:c>
      <x:c r="N70" s="269" t="str">
        <x:v>MS Office, Excel</x:v>
      </x:c>
      <x:c r="O70" s="269" t="str">
        <x:v>widełki na stronie</x:v>
      </x:c>
      <x:c r="P70" s="269" t="str">
        <x:v>No</x:v>
      </x:c>
      <x:c r="Q70" s="269" t="str">
        <x:v>Needs verification</x:v>
      </x:c>
      <x:c r="R70" s="269" t="str">
        <x:v>https://nofluffjobs.com/pl/job/junior-data-analyst-antal-warszawa</x:v>
      </x:c>
      <x:c r="S70" s="270" t="str">
        <x:v>2026-07-09</x:v>
      </x:c>
      <x:c r="T70" s="269" t="str">
        <x:v>analiza danych, Excel</x:v>
      </x:c>
      <x:c r="U70" s="269" t="str">
        <x:v>junior</x:v>
      </x:c>
      <x:c r="V70" s="269" t="str">
        <x:v>pasuje – junior data analyst</x:v>
      </x:c>
      <x:c r="W70" s="269" t="str">
        <x:v>zweryfikować aktualność</x:v>
      </x:c>
      <x:c r="X70" s="269" t="str">
        <x:v>No</x:v>
      </x:c>
      <x:c r="Y70" s="269" t="str">
        <x:v>No</x:v>
      </x:c>
    </x:row>
    <x:row r="71">
      <x:c r="A71" s="269" t="str">
        <x:v>70</x:v>
      </x:c>
      <x:c r="B71" s="269" t="str">
        <x:v>No Fluff Jobs</x:v>
      </x:c>
      <x:c r="C71" s="269" t="str">
        <x:v>Junior Data Analyst</x:v>
      </x:c>
      <x:c r="D71" s="269" t="str">
        <x:v>Comscore via CC</x:v>
      </x:c>
      <x:c r="E71" s="269" t="str">
        <x:v>zdalnie</x:v>
      </x:c>
      <x:c r="F71" s="269" t="str">
        <x:v>junior</x:v>
      </x:c>
      <x:c r="G71" s="269" t="str">
        <x:v>Junior / entry</x:v>
      </x:c>
      <x:c r="H71" s="269" t="str">
        <x:v>zdalna</x:v>
      </x:c>
      <x:c r="I71" s="269" t="str">
        <x:v>Remote</x:v>
      </x:c>
      <x:c r="J71" s="269" t="str">
        <x:v>B2B</x:v>
      </x:c>
      <x:c r="K71" s="269" t="str">
        <x:v>B2B</x:v>
      </x:c>
      <x:c r="L71" s="269" t="str">
        <x:v>data analyst</x:v>
      </x:c>
      <x:c r="M71" s="269" t="str">
        <x:v>Data analysis</x:v>
      </x:c>
      <x:c r="N71" s="269" t="str">
        <x:v>brak danych</x:v>
      </x:c>
      <x:c r="O71" s="269" t="str">
        <x:v>6 000–8 000 PLN + VAT B2B/mies.</x:v>
      </x:c>
      <x:c r="P71" s="269" t="str">
        <x:v>Yes</x:v>
      </x:c>
      <x:c r="Q71" s="269" t="str">
        <x:v>Needs verification</x:v>
      </x:c>
      <x:c r="R71" s="269" t="str">
        <x:v>https://nofluffjobs.com/pl/job/junior-data-analyst-comscore-via-cc-remote</x:v>
      </x:c>
      <x:c r="S71" s="270" t="str">
        <x:v>2026-07-09</x:v>
      </x:c>
      <x:c r="T71" s="269" t="str">
        <x:v>analiza danych</x:v>
      </x:c>
      <x:c r="U71" s="269" t="str">
        <x:v>junior</x:v>
      </x:c>
      <x:c r="V71" s="269" t="str">
        <x:v>pasuje – junior data analyst remote</x:v>
      </x:c>
      <x:c r="W71" s="269" t="str">
        <x:v>zweryfikować aktualność</x:v>
      </x:c>
      <x:c r="X71" s="269" t="str">
        <x:v>No</x:v>
      </x:c>
      <x:c r="Y71" s="269" t="str">
        <x:v>No</x:v>
      </x:c>
    </x:row>
    <x:row r="72">
      <x:c r="A72" s="269" t="str">
        <x:v>71</x:v>
      </x:c>
      <x:c r="B72" s="269" t="str">
        <x:v>Indeed</x:v>
      </x:c>
      <x:c r="C72" s="269" t="str">
        <x:v>Junior Data Analyst</x:v>
      </x:c>
      <x:c r="D72" s="269" t="str">
        <x:v>OEConnection</x:v>
      </x:c>
      <x:c r="E72" s="269" t="str">
        <x:v>Kraków</x:v>
      </x:c>
      <x:c r="F72" s="269" t="str">
        <x:v>junior</x:v>
      </x:c>
      <x:c r="G72" s="269" t="str">
        <x:v>Junior / entry</x:v>
      </x:c>
      <x:c r="H72" s="269" t="str">
        <x:v>brak informacji</x:v>
      </x:c>
      <x:c r="I72" s="269" t="str">
        <x:v>Unknown</x:v>
      </x:c>
      <x:c r="J72" s="269" t="str">
        <x:v>brak informacji</x:v>
      </x:c>
      <x:c r="K72" s="269" t="str">
        <x:v>Unknown</x:v>
      </x:c>
      <x:c r="L72" s="269" t="str">
        <x:v>analityczne / dane</x:v>
      </x:c>
      <x:c r="M72" s="269" t="str">
        <x:v>Data analysis</x:v>
      </x:c>
      <x:c r="N72" s="269" t="str">
        <x:v>Excel, MS Office</x:v>
      </x:c>
      <x:c r="O72" s="269" t="str">
        <x:v>brak informacji</x:v>
      </x:c>
      <x:c r="P72" s="269" t="str">
        <x:v>No</x:v>
      </x:c>
      <x:c r="Q72" s="269" t="str">
        <x:v>Needs verification</x:v>
      </x:c>
      <x:c r="R72" s="269" t="str">
        <x:v>https://pl.indeed.com/q-junior-data-analyst-oferty-pracy.html</x:v>
      </x:c>
      <x:c r="S72" s="270" t="str">
        <x:v>2026-07-09</x:v>
      </x:c>
      <x:c r="T72" s="269" t="str">
        <x:v>analiza danych, praca z danymi, weryfikacja i porządkowanie informacji</x:v>
      </x:c>
      <x:c r="U72" s="269" t="str">
        <x:v>język angielski, umiejętności analityczne</x:v>
      </x:c>
      <x:c r="V72" s="269" t="str">
        <x:v>pasuje – stanowisko juniorskie z obszaru analizy danych i jakości informacji</x:v>
      </x:c>
      <x:c r="W72" s="269" t="str">
        <x:v>do weryfikacji – wynik/źródło z Indeed</x:v>
      </x:c>
      <x:c r="X72" s="269" t="str">
        <x:v>No</x:v>
      </x:c>
      <x:c r="Y72" s="269" t="str">
        <x:v>No</x:v>
      </x:c>
    </x:row>
    <x:row r="73">
      <x:c r="A73" s="269" t="str">
        <x:v>72</x:v>
      </x:c>
      <x:c r="B73" s="269" t="str">
        <x:v>Indeed</x:v>
      </x:c>
      <x:c r="C73" s="269" t="str">
        <x:v>Data Analyst / Data Engineer (Junior/Mid)</x:v>
      </x:c>
      <x:c r="D73" s="269" t="str">
        <x:v>Payarto</x:v>
      </x:c>
      <x:c r="E73" s="269" t="str">
        <x:v>Warszawa</x:v>
      </x:c>
      <x:c r="F73" s="269" t="str">
        <x:v>junior/mid</x:v>
      </x:c>
      <x:c r="G73" s="269" t="str">
        <x:v>Junior–Mid</x:v>
      </x:c>
      <x:c r="H73" s="269" t="str">
        <x:v>brak informacji</x:v>
      </x:c>
      <x:c r="I73" s="269" t="str">
        <x:v>Unknown</x:v>
      </x:c>
      <x:c r="J73" s="269" t="str">
        <x:v>brak informacji</x:v>
      </x:c>
      <x:c r="K73" s="269" t="str">
        <x:v>Unknown</x:v>
      </x:c>
      <x:c r="L73" s="269" t="str">
        <x:v>analityczne / dane / BI</x:v>
      </x:c>
      <x:c r="M73" s="269" t="str">
        <x:v>Reporting &amp; BI</x:v>
      </x:c>
      <x:c r="N73" s="269" t="str">
        <x:v>SQL, Python/R, narzędzia BI</x:v>
      </x:c>
      <x:c r="O73" s="269" t="str">
        <x:v>brak informacji</x:v>
      </x:c>
      <x:c r="P73" s="269" t="str">
        <x:v>No</x:v>
      </x:c>
      <x:c r="Q73" s="269" t="str">
        <x:v>Needs verification</x:v>
      </x:c>
      <x:c r="R73" s="269" t="str">
        <x:v>https://pl.indeed.com/q-data-analyst-l-warszawa%2C-mazowieckie-oferty-pracy.html</x:v>
      </x:c>
      <x:c r="S73" s="270" t="str">
        <x:v>2026-07-09</x:v>
      </x:c>
      <x:c r="T73" s="269" t="str">
        <x:v>analiza danych, business intelligence, praca z bazami danych</x:v>
      </x:c>
      <x:c r="U73" s="269" t="str">
        <x:v>1–5 lat doświadczenia, SQL, angielski</x:v>
      </x:c>
      <x:c r="V73" s="269" t="str">
        <x:v>częściowo pasuje – poziom junior/mid, analiza danych i BI</x:v>
      </x:c>
      <x:c r="W73" s="269" t="str">
        <x:v>do weryfikacji – wynik/źródło z Indeed</x:v>
      </x:c>
      <x:c r="X73" s="269" t="str">
        <x:v>No</x:v>
      </x:c>
      <x:c r="Y73" s="269" t="str">
        <x:v>No</x:v>
      </x:c>
    </x:row>
    <x:row r="74">
      <x:c r="A74" s="269" t="str">
        <x:v>73</x:v>
      </x:c>
      <x:c r="B74" s="269" t="str">
        <x:v>Indeed</x:v>
      </x:c>
      <x:c r="C74" s="269" t="str">
        <x:v>Junior Data Governance Analyst</x:v>
      </x:c>
      <x:c r="D74" s="269" t="str">
        <x:v>Madiff</x:v>
      </x:c>
      <x:c r="E74" s="269" t="str">
        <x:v>zdalnie</x:v>
      </x:c>
      <x:c r="F74" s="269" t="str">
        <x:v>junior</x:v>
      </x:c>
      <x:c r="G74" s="269" t="str">
        <x:v>Junior / entry</x:v>
      </x:c>
      <x:c r="H74" s="269" t="str">
        <x:v>zdalna</x:v>
      </x:c>
      <x:c r="I74" s="269" t="str">
        <x:v>Remote</x:v>
      </x:c>
      <x:c r="J74" s="269" t="str">
        <x:v>brak informacji</x:v>
      </x:c>
      <x:c r="K74" s="269" t="str">
        <x:v>Unknown</x:v>
      </x:c>
      <x:c r="L74" s="269" t="str">
        <x:v>data governance / jakość danych</x:v>
      </x:c>
      <x:c r="M74" s="269" t="str">
        <x:v>Data governance &amp; quality</x:v>
      </x:c>
      <x:c r="N74" s="269" t="str">
        <x:v>brak informacji</x:v>
      </x:c>
      <x:c r="O74" s="269" t="str">
        <x:v>brak informacji</x:v>
      </x:c>
      <x:c r="P74" s="269" t="str">
        <x:v>No</x:v>
      </x:c>
      <x:c r="Q74" s="269" t="str">
        <x:v>Needs verification</x:v>
      </x:c>
      <x:c r="R74" s="269" t="str">
        <x:v>https://pl.indeed.com/q-data-analyst-l-zdalnie-oferty-pracy.html</x:v>
      </x:c>
      <x:c r="S74" s="270" t="str">
        <x:v>2026-07-09</x:v>
      </x:c>
      <x:c r="T74" s="269" t="str">
        <x:v>data governance, data management, data quality, transformacja danych</x:v>
      </x:c>
      <x:c r="U74" s="269" t="str">
        <x:v>doświadczenie juniorskie w data management/governance</x:v>
      </x:c>
      <x:c r="V74" s="269" t="str">
        <x:v>bardzo pasuje – ład danych, jakość i zarządzanie informacją</x:v>
      </x:c>
      <x:c r="W74" s="269" t="str">
        <x:v>do weryfikacji – wynik/źródło z Indeed</x:v>
      </x:c>
      <x:c r="X74" s="269" t="str">
        <x:v>Yes</x:v>
      </x:c>
      <x:c r="Y74" s="269" t="str">
        <x:v>No</x:v>
      </x:c>
    </x:row>
    <x:row r="75">
      <x:c r="A75" s="269" t="str">
        <x:v>74</x:v>
      </x:c>
      <x:c r="B75" s="269" t="str">
        <x:v>Indeed</x:v>
      </x:c>
      <x:c r="C75" s="269" t="str">
        <x:v>Junior Data Management and Reporting Analyst</x:v>
      </x:c>
      <x:c r="D75" s="269" t="str">
        <x:v>Eurofins</x:v>
      </x:c>
      <x:c r="E75" s="269" t="str">
        <x:v>Katowice</x:v>
      </x:c>
      <x:c r="F75" s="269" t="str">
        <x:v>junior</x:v>
      </x:c>
      <x:c r="G75" s="269" t="str">
        <x:v>Junior / entry</x:v>
      </x:c>
      <x:c r="H75" s="269" t="str">
        <x:v>brak informacji</x:v>
      </x:c>
      <x:c r="I75" s="269" t="str">
        <x:v>Unknown</x:v>
      </x:c>
      <x:c r="J75" s="269" t="str">
        <x:v>brak informacji</x:v>
      </x:c>
      <x:c r="K75" s="269" t="str">
        <x:v>Unknown</x:v>
      </x:c>
      <x:c r="L75" s="269" t="str">
        <x:v>raportowanie / zarządzanie danymi</x:v>
      </x:c>
      <x:c r="M75" s="269" t="str">
        <x:v>Reporting &amp; BI</x:v>
      </x:c>
      <x:c r="N75" s="269" t="str">
        <x:v>Excel, narzędzia raportowe</x:v>
      </x:c>
      <x:c r="O75" s="269" t="str">
        <x:v>brak informacji</x:v>
      </x:c>
      <x:c r="P75" s="269" t="str">
        <x:v>No</x:v>
      </x:c>
      <x:c r="Q75" s="269" t="str">
        <x:v>Needs verification</x:v>
      </x:c>
      <x:c r="R75" s="269" t="str">
        <x:v>https://pl.indeed.com/q-data-analyst-l-zdalnie-oferty-pracy.html</x:v>
      </x:c>
      <x:c r="S75" s="270" t="str">
        <x:v>2026-07-09</x:v>
      </x:c>
      <x:c r="T75" s="269" t="str">
        <x:v>ad hoc reporting, business data analysis, zarządzanie danymi</x:v>
      </x:c>
      <x:c r="U75" s="269" t="str">
        <x:v>angielski, analiza danych</x:v>
      </x:c>
      <x:c r="V75" s="269" t="str">
        <x:v>bardzo pasuje – raportowanie i zarządzanie danymi</x:v>
      </x:c>
      <x:c r="W75" s="269" t="str">
        <x:v>do weryfikacji – wynik/źródło z Indeed</x:v>
      </x:c>
      <x:c r="X75" s="269" t="str">
        <x:v>Yes</x:v>
      </x:c>
      <x:c r="Y75" s="269" t="str">
        <x:v>No</x:v>
      </x:c>
    </x:row>
    <x:row r="76">
      <x:c r="A76" s="269" t="str">
        <x:v>75</x:v>
      </x:c>
      <x:c r="B76" s="269" t="str">
        <x:v>Indeed</x:v>
      </x:c>
      <x:c r="C76" s="269" t="str">
        <x:v>Cybersecurity Support Analyst</x:v>
      </x:c>
      <x:c r="D76" s="269" t="str">
        <x:v>SCALO</x:v>
      </x:c>
      <x:c r="E76" s="269" t="str">
        <x:v>Wrocław</x:v>
      </x:c>
      <x:c r="F76" s="269" t="str">
        <x:v>junior/specjalista</x:v>
      </x:c>
      <x:c r="G76" s="269" t="str">
        <x:v>Junior–Mid</x:v>
      </x:c>
      <x:c r="H76" s="269" t="str">
        <x:v>brak informacji</x:v>
      </x:c>
      <x:c r="I76" s="269" t="str">
        <x:v>Unknown</x:v>
      </x:c>
      <x:c r="J76" s="269" t="str">
        <x:v>brak informacji</x:v>
      </x:c>
      <x:c r="K76" s="269" t="str">
        <x:v>Unknown</x:v>
      </x:c>
      <x:c r="L76" s="269" t="str">
        <x:v>support / analiza informacji</x:v>
      </x:c>
      <x:c r="M76" s="269" t="str">
        <x:v>Operations &amp; data support</x:v>
      </x:c>
      <x:c r="N76" s="269" t="str">
        <x:v>MS Office</x:v>
      </x:c>
      <x:c r="O76" s="269" t="str">
        <x:v>brak informacji</x:v>
      </x:c>
      <x:c r="P76" s="269" t="str">
        <x:v>No</x:v>
      </x:c>
      <x:c r="Q76" s="269" t="str">
        <x:v>Needs verification</x:v>
      </x:c>
      <x:c r="R76" s="269" t="str">
        <x:v>https://pl.indeed.com/q-junior-data-analyst-l-wroc%C5%82aw%2C-dolno%C5%9Bl%C4%85skie-oferty-pracy.html</x:v>
      </x:c>
      <x:c r="S76" s="270" t="str">
        <x:v>2026-07-09</x:v>
      </x:c>
      <x:c r="T76" s="269" t="str">
        <x:v>analiza procesów, praca z dokumentacją i informacją operacyjną</x:v>
      </x:c>
      <x:c r="U76" s="269" t="str">
        <x:v>MS Office, dokładność, organizacja pracy</x:v>
      </x:c>
      <x:c r="V76" s="269" t="str">
        <x:v>pasuje warunkowo – analiza procesów, informacje i systemy bezpieczeństwa</x:v>
      </x:c>
      <x:c r="W76" s="269" t="str">
        <x:v>do weryfikacji – wynik/źródło z Indeed</x:v>
      </x:c>
      <x:c r="X76" s="269" t="str">
        <x:v>Yes</x:v>
      </x:c>
      <x:c r="Y76" s="269" t="str">
        <x:v>No</x:v>
      </x:c>
    </x:row>
    <x:row r="77">
      <x:c r="A77" s="269" t="str">
        <x:v>76</x:v>
      </x:c>
      <x:c r="B77" s="269" t="str">
        <x:v>Indeed</x:v>
      </x:c>
      <x:c r="C77" s="269" t="str">
        <x:v>Energy Data Analyst</x:v>
      </x:c>
      <x:c r="D77" s="269" t="str">
        <x:v>E&amp;C</x:v>
      </x:c>
      <x:c r="E77" s="269" t="str">
        <x:v>Wrocław</x:v>
      </x:c>
      <x:c r="F77" s="269" t="str">
        <x:v>junior/specjalista</x:v>
      </x:c>
      <x:c r="G77" s="269" t="str">
        <x:v>Junior–Mid</x:v>
      </x:c>
      <x:c r="H77" s="269" t="str">
        <x:v>brak informacji</x:v>
      </x:c>
      <x:c r="I77" s="269" t="str">
        <x:v>Unknown</x:v>
      </x:c>
      <x:c r="J77" s="269" t="str">
        <x:v>brak informacji</x:v>
      </x:c>
      <x:c r="K77" s="269" t="str">
        <x:v>Unknown</x:v>
      </x:c>
      <x:c r="L77" s="269" t="str">
        <x:v>analityczne / dane branżowe</x:v>
      </x:c>
      <x:c r="M77" s="269" t="str">
        <x:v>Data analysis</x:v>
      </x:c>
      <x:c r="N77" s="269" t="str">
        <x:v>brak informacji</x:v>
      </x:c>
      <x:c r="O77" s="269" t="str">
        <x:v>brak informacji</x:v>
      </x:c>
      <x:c r="P77" s="269" t="str">
        <x:v>No</x:v>
      </x:c>
      <x:c r="Q77" s="269" t="str">
        <x:v>Needs verification</x:v>
      </x:c>
      <x:c r="R77" s="269" t="str">
        <x:v>https://pl.indeed.com/q-junior-data-analyst-l-wroc%C5%82aw%2C-dolno%C5%9Bl%C4%85skie-oferty-pracy.html</x:v>
      </x:c>
      <x:c r="S77" s="270" t="str">
        <x:v>2026-07-09</x:v>
      </x:c>
      <x:c r="T77" s="269" t="str">
        <x:v>analiza i synteza danych dla klientów i zespołów</x:v>
      </x:c>
      <x:c r="U77" s="269" t="str">
        <x:v>umiejętności analityczne, komunikacja</x:v>
      </x:c>
      <x:c r="V77" s="269" t="str">
        <x:v>pasuje – analiza danych branżowych i komunikowanie wniosków</x:v>
      </x:c>
      <x:c r="W77" s="269" t="str">
        <x:v>do weryfikacji – wynik/źródło z Indeed</x:v>
      </x:c>
      <x:c r="X77" s="269" t="str">
        <x:v>Yes</x:v>
      </x:c>
      <x:c r="Y77" s="269" t="str">
        <x:v>No</x:v>
      </x:c>
    </x:row>
    <x:row r="78">
      <x:c r="A78" s="269" t="str">
        <x:v>77</x:v>
      </x:c>
      <x:c r="B78" s="269" t="str">
        <x:v>JustJoinIT</x:v>
      </x:c>
      <x:c r="C78" s="269" t="str">
        <x:v>Junior Data Analyst (Banking / Data Warehouse)</x:v>
      </x:c>
      <x:c r="D78" s="269" t="str">
        <x:v>CGI</x:v>
      </x:c>
      <x:c r="E78" s="269" t="str">
        <x:v>Warszawa</x:v>
      </x:c>
      <x:c r="F78" s="269" t="str">
        <x:v>junior</x:v>
      </x:c>
      <x:c r="G78" s="269" t="str">
        <x:v>Junior / entry</x:v>
      </x:c>
      <x:c r="H78" s="269" t="str">
        <x:v>brak informacji</x:v>
      </x:c>
      <x:c r="I78" s="269" t="str">
        <x:v>Unknown</x:v>
      </x:c>
      <x:c r="J78" s="269" t="str">
        <x:v>brak informacji</x:v>
      </x:c>
      <x:c r="K78" s="269" t="str">
        <x:v>Unknown</x:v>
      </x:c>
      <x:c r="L78" s="269" t="str">
        <x:v>data warehouse / analiza danych</x:v>
      </x:c>
      <x:c r="M78" s="269" t="str">
        <x:v>Reporting &amp; BI</x:v>
      </x:c>
      <x:c r="N78" s="269" t="str">
        <x:v>SQL, Data Warehouse</x:v>
      </x:c>
      <x:c r="O78" s="269" t="str">
        <x:v>brak informacji</x:v>
      </x:c>
      <x:c r="P78" s="269" t="str">
        <x:v>No</x:v>
      </x:c>
      <x:c r="Q78" s="269" t="str">
        <x:v>Needs verification</x:v>
      </x:c>
      <x:c r="R78" s="269" t="str">
        <x:v>https://justjoin.it/job-offer/cgi-junior-data-analyst-banking-data-warehouse--warszawa-data</x:v>
      </x:c>
      <x:c r="S78" s="270" t="str">
        <x:v>2026-07-09</x:v>
      </x:c>
      <x:c r="T78" s="269" t="str">
        <x:v>wsparcie rozwoju hurtowni danych, analiza danych bankowych</x:v>
      </x:c>
      <x:c r="U78" s="269" t="str">
        <x:v>SQL, analityka, angielski</x:v>
      </x:c>
      <x:c r="V78" s="269" t="str">
        <x:v>bardzo pasuje – hurtownia danych, analiza i systemy informacyjne</x:v>
      </x:c>
      <x:c r="W78" s="269" t="str">
        <x:v>zweryfikowana w wynikach wyszukiwania</x:v>
      </x:c>
      <x:c r="X78" s="269" t="str">
        <x:v>No</x:v>
      </x:c>
      <x:c r="Y78" s="269" t="str">
        <x:v>No</x:v>
      </x:c>
    </x:row>
    <x:row r="79">
      <x:c r="A79" s="269" t="str">
        <x:v>78</x:v>
      </x:c>
      <x:c r="B79" s="269" t="str">
        <x:v>JustJoinIT</x:v>
      </x:c>
      <x:c r="C79" s="269" t="str">
        <x:v>Junior Data Analyst</x:v>
      </x:c>
      <x:c r="D79" s="269" t="str">
        <x:v>The Swarm</x:v>
      </x:c>
      <x:c r="E79" s="269" t="str">
        <x:v>Kraków</x:v>
      </x:c>
      <x:c r="F79" s="269" t="str">
        <x:v>junior</x:v>
      </x:c>
      <x:c r="G79" s="269" t="str">
        <x:v>Junior / entry</x:v>
      </x:c>
      <x:c r="H79" s="269" t="str">
        <x:v>brak informacji</x:v>
      </x:c>
      <x:c r="I79" s="269" t="str">
        <x:v>Unknown</x:v>
      </x:c>
      <x:c r="J79" s="269" t="str">
        <x:v>brak informacji</x:v>
      </x:c>
      <x:c r="K79" s="269" t="str">
        <x:v>Unknown</x:v>
      </x:c>
      <x:c r="L79" s="269" t="str">
        <x:v>analityczne / dane</x:v>
      </x:c>
      <x:c r="M79" s="269" t="str">
        <x:v>Data analysis</x:v>
      </x:c>
      <x:c r="N79" s="269" t="str">
        <x:v>brak informacji</x:v>
      </x:c>
      <x:c r="O79" s="269" t="str">
        <x:v>brak informacji</x:v>
      </x:c>
      <x:c r="P79" s="269" t="str">
        <x:v>No</x:v>
      </x:c>
      <x:c r="Q79" s="269" t="str">
        <x:v>Needs verification</x:v>
      </x:c>
      <x:c r="R79" s="269" t="str">
        <x:v>https://justjoin.it/job-offer/the-swarm-junior-data-analyst-krakow-analytics</x:v>
      </x:c>
      <x:c r="S79" s="270" t="str">
        <x:v>2026-07-09</x:v>
      </x:c>
      <x:c r="T79" s="269" t="str">
        <x:v>analiza danych, przygotowywanie zestawień i wniosków</x:v>
      </x:c>
      <x:c r="U79" s="269" t="str">
        <x:v>umiejętności analityczne</x:v>
      </x:c>
      <x:c r="V79" s="269" t="str">
        <x:v>pasuje – stanowisko juniorskie w analizie danych</x:v>
      </x:c>
      <x:c r="W79" s="269" t="str">
        <x:v>zweryfikowana w wynikach wyszukiwania</x:v>
      </x:c>
      <x:c r="X79" s="269" t="str">
        <x:v>No</x:v>
      </x:c>
      <x:c r="Y79" s="269" t="str">
        <x:v>No</x:v>
      </x:c>
    </x:row>
    <x:row r="80">
      <x:c r="A80" s="269" t="str">
        <x:v>79</x:v>
      </x:c>
      <x:c r="B80" s="269" t="str">
        <x:v>JustJoinIT</x:v>
      </x:c>
      <x:c r="C80" s="269" t="str">
        <x:v>Junior Product/Data Analyst – e-Xperience Program</x:v>
      </x:c>
      <x:c r="D80" s="269" t="str">
        <x:v>Allegro</x:v>
      </x:c>
      <x:c r="E80" s="269" t="str">
        <x:v>Warszawa</x:v>
      </x:c>
      <x:c r="F80" s="269" t="str">
        <x:v>junior / program absolwencki</x:v>
      </x:c>
      <x:c r="G80" s="269" t="str">
        <x:v>Junior / entry</x:v>
      </x:c>
      <x:c r="H80" s="269" t="str">
        <x:v>brak informacji</x:v>
      </x:c>
      <x:c r="I80" s="269" t="str">
        <x:v>Unknown</x:v>
      </x:c>
      <x:c r="J80" s="269" t="str">
        <x:v>brak informacji</x:v>
      </x:c>
      <x:c r="K80" s="269" t="str">
        <x:v>Unknown</x:v>
      </x:c>
      <x:c r="L80" s="269" t="str">
        <x:v>product analytics / dane</x:v>
      </x:c>
      <x:c r="M80" s="269" t="str">
        <x:v>Data analysis</x:v>
      </x:c>
      <x:c r="N80" s="269" t="str">
        <x:v>brak informacji</x:v>
      </x:c>
      <x:c r="O80" s="269" t="str">
        <x:v>brak informacji</x:v>
      </x:c>
      <x:c r="P80" s="269" t="str">
        <x:v>No</x:v>
      </x:c>
      <x:c r="Q80" s="269" t="str">
        <x:v>Needs verification</x:v>
      </x:c>
      <x:c r="R80" s="269" t="str">
        <x:v>https://justjoin.it/job-offer/allegro-junior-product-data-analyst---e-xperience-program-associate-warszawa-data</x:v>
      </x:c>
      <x:c r="S80" s="270" t="str">
        <x:v>2026-07-09</x:v>
      </x:c>
      <x:c r="T80" s="269" t="str">
        <x:v>analiza danych produktowych, raportowanie, wspieranie decyzji</x:v>
      </x:c>
      <x:c r="U80" s="269" t="str">
        <x:v>analityka, komunikacja, praca z danymi</x:v>
      </x:c>
      <x:c r="V80" s="269" t="str">
        <x:v>bardzo pasuje – program wejściowy, analiza danych produktowych</x:v>
      </x:c>
      <x:c r="W80" s="269" t="str">
        <x:v>zweryfikowana w wynikach wyszukiwania</x:v>
      </x:c>
      <x:c r="X80" s="269" t="str">
        <x:v>No</x:v>
      </x:c>
      <x:c r="Y80" s="269" t="str">
        <x:v>No</x:v>
      </x:c>
    </x:row>
    <x:row r="81">
      <x:c r="A81" s="269" t="str">
        <x:v>80</x:v>
      </x:c>
      <x:c r="B81" s="269" t="str">
        <x:v>JustJoinIT</x:v>
      </x:c>
      <x:c r="C81" s="269" t="str">
        <x:v>Junior Data Analyst</x:v>
      </x:c>
      <x:c r="D81" s="269" t="str">
        <x:v>FINANTEQ</x:v>
      </x:c>
      <x:c r="E81" s="269" t="str">
        <x:v>Lublin</x:v>
      </x:c>
      <x:c r="F81" s="269" t="str">
        <x:v>junior</x:v>
      </x:c>
      <x:c r="G81" s="269" t="str">
        <x:v>Junior / entry</x:v>
      </x:c>
      <x:c r="H81" s="269" t="str">
        <x:v>brak informacji</x:v>
      </x:c>
      <x:c r="I81" s="269" t="str">
        <x:v>Unknown</x:v>
      </x:c>
      <x:c r="J81" s="269" t="str">
        <x:v>brak informacji</x:v>
      </x:c>
      <x:c r="K81" s="269" t="str">
        <x:v>Unknown</x:v>
      </x:c>
      <x:c r="L81" s="269" t="str">
        <x:v>analityczne / dane</x:v>
      </x:c>
      <x:c r="M81" s="269" t="str">
        <x:v>Data analysis</x:v>
      </x:c>
      <x:c r="N81" s="269" t="str">
        <x:v>brak informacji</x:v>
      </x:c>
      <x:c r="O81" s="269" t="str">
        <x:v>2 042–3 131 USD/mies.</x:v>
      </x:c>
      <x:c r="P81" s="269" t="str">
        <x:v>Yes</x:v>
      </x:c>
      <x:c r="Q81" s="269" t="str">
        <x:v>Needs verification</x:v>
      </x:c>
      <x:c r="R81" s="269" t="str">
        <x:v>https://justjoin.it/job-offer/finanteq-junior-data-analyst-lublin-data</x:v>
      </x:c>
      <x:c r="S81" s="270" t="str">
        <x:v>2026-07-09</x:v>
      </x:c>
      <x:c r="T81" s="269" t="str">
        <x:v>analiza danych, raportowanie, wspieranie procesów biznesowych</x:v>
      </x:c>
      <x:c r="U81" s="269" t="str">
        <x:v>min. roczne doświadczenie, wykształcenie kierunkowe</x:v>
      </x:c>
      <x:c r="V81" s="269" t="str">
        <x:v>pasuje – junior data analyst, choć wymaga doświadczenia</x:v>
      </x:c>
      <x:c r="W81" s="269" t="str">
        <x:v>zweryfikowana w wynikach wyszukiwania</x:v>
      </x:c>
      <x:c r="X81" s="269" t="str">
        <x:v>No</x:v>
      </x:c>
      <x:c r="Y81" s="269" t="str">
        <x:v>No</x:v>
      </x:c>
    </x:row>
    <x:row r="82">
      <x:c r="A82" s="269" t="str">
        <x:v>81</x:v>
      </x:c>
      <x:c r="B82" s="269" t="str">
        <x:v>JustJoinIT</x:v>
      </x:c>
      <x:c r="C82" s="269" t="str">
        <x:v>Junior Data Engineer (Azure Data Factory)</x:v>
      </x:c>
      <x:c r="D82" s="269" t="str">
        <x:v>brak informacji</x:v>
      </x:c>
      <x:c r="E82" s="269" t="str">
        <x:v>Kraków / Polska</x:v>
      </x:c>
      <x:c r="F82" s="269" t="str">
        <x:v>junior</x:v>
      </x:c>
      <x:c r="G82" s="269" t="str">
        <x:v>Junior / entry</x:v>
      </x:c>
      <x:c r="H82" s="269" t="str">
        <x:v>brak informacji</x:v>
      </x:c>
      <x:c r="I82" s="269" t="str">
        <x:v>Unknown</x:v>
      </x:c>
      <x:c r="J82" s="269" t="str">
        <x:v>brak informacji</x:v>
      </x:c>
      <x:c r="K82" s="269" t="str">
        <x:v>Unknown</x:v>
      </x:c>
      <x:c r="L82" s="269" t="str">
        <x:v>data engineering / systemy danych</x:v>
      </x:c>
      <x:c r="M82" s="269" t="str">
        <x:v>Reporting &amp; BI</x:v>
      </x:c>
      <x:c r="N82" s="269" t="str">
        <x:v>Azure Data Factory, SQL</x:v>
      </x:c>
      <x:c r="O82" s="269" t="str">
        <x:v>1 888–3 399 USD/mies.</x:v>
      </x:c>
      <x:c r="P82" s="269" t="str">
        <x:v>Yes</x:v>
      </x:c>
      <x:c r="Q82" s="269" t="str">
        <x:v>Needs verification</x:v>
      </x:c>
      <x:c r="R82" s="269" t="str">
        <x:v>https://justjoin.it/job-offers/krakow/data</x:v>
      </x:c>
      <x:c r="S82" s="270" t="str">
        <x:v>2026-07-09</x:v>
      </x:c>
      <x:c r="T82" s="269" t="str">
        <x:v>przetwarzanie danych, praca z systemami danych</x:v>
      </x:c>
      <x:c r="U82" s="269" t="str">
        <x:v>narzędzia chmurowe, SQL</x:v>
      </x:c>
      <x:c r="V82" s="269" t="str">
        <x:v>pasuje warunkowo – bardziej techniczne, ale dotyczy systemów danych</x:v>
      </x:c>
      <x:c r="W82" s="269" t="str">
        <x:v>do weryfikacji – wynik kategorii data</x:v>
      </x:c>
      <x:c r="X82" s="269" t="str">
        <x:v>No</x:v>
      </x:c>
      <x:c r="Y82" s="269" t="str">
        <x:v>No</x:v>
      </x:c>
    </x:row>
    <x:row r="83">
      <x:c r="A83" s="269" t="str">
        <x:v>82</x:v>
      </x:c>
      <x:c r="B83" s="269" t="str">
        <x:v>JustJoinIT</x:v>
      </x:c>
      <x:c r="C83" s="269" t="str">
        <x:v>Junior Business Analyst</x:v>
      </x:c>
      <x:c r="D83" s="269" t="str">
        <x:v>brak informacji</x:v>
      </x:c>
      <x:c r="E83" s="269" t="str">
        <x:v>Warszawa / Polska</x:v>
      </x:c>
      <x:c r="F83" s="269" t="str">
        <x:v>junior</x:v>
      </x:c>
      <x:c r="G83" s="269" t="str">
        <x:v>Junior / entry</x:v>
      </x:c>
      <x:c r="H83" s="269" t="str">
        <x:v>brak informacji</x:v>
      </x:c>
      <x:c r="I83" s="269" t="str">
        <x:v>Unknown</x:v>
      </x:c>
      <x:c r="J83" s="269" t="str">
        <x:v>brak informacji</x:v>
      </x:c>
      <x:c r="K83" s="269" t="str">
        <x:v>Unknown</x:v>
      </x:c>
      <x:c r="L83" s="269" t="str">
        <x:v>analiza biznesowa / informacja</x:v>
      </x:c>
      <x:c r="M83" s="269" t="str">
        <x:v>Information &amp; documentation</x:v>
      </x:c>
      <x:c r="N83" s="269" t="str">
        <x:v>brak informacji</x:v>
      </x:c>
      <x:c r="O83" s="269" t="str">
        <x:v>2 287–2 516 USD/mies.</x:v>
      </x:c>
      <x:c r="P83" s="269" t="str">
        <x:v>Yes</x:v>
      </x:c>
      <x:c r="Q83" s="269" t="str">
        <x:v>Needs verification</x:v>
      </x:c>
      <x:c r="R83" s="269" t="str">
        <x:v>https://justjoin.it/job-offers/warszawa/analytics</x:v>
      </x:c>
      <x:c r="S83" s="270" t="str">
        <x:v>2026-07-09</x:v>
      </x:c>
      <x:c r="T83" s="269" t="str">
        <x:v>analiza wymagań biznesowych, dokumentacja, komunikacja z interesariuszami</x:v>
      </x:c>
      <x:c r="U83" s="269" t="str">
        <x:v>komunikacja, analiza procesów</x:v>
      </x:c>
      <x:c r="V83" s="269" t="str">
        <x:v>bardzo pasuje – analiza informacji i dokumentacja wymagań</x:v>
      </x:c>
      <x:c r="W83" s="269" t="str">
        <x:v>do weryfikacji – wynik kategorii analytics</x:v>
      </x:c>
      <x:c r="X83" s="269" t="str">
        <x:v>No</x:v>
      </x:c>
      <x:c r="Y83" s="269" t="str">
        <x:v>No</x:v>
      </x:c>
    </x:row>
    <x:row r="84">
      <x:c r="A84" s="269" t="str">
        <x:v>83</x:v>
      </x:c>
      <x:c r="B84" s="269" t="str">
        <x:v>Aplikuj.pl</x:v>
      </x:c>
      <x:c r="C84" s="269" t="str">
        <x:v>Junior Operations Analyst (M/K)</x:v>
      </x:c>
      <x:c r="D84" s="269" t="str">
        <x:v>ManpowerGroup Sp. z o.o.</x:v>
      </x:c>
      <x:c r="E84" s="269" t="str">
        <x:v>Warszawa</x:v>
      </x:c>
      <x:c r="F84" s="269" t="str">
        <x:v>junior</x:v>
      </x:c>
      <x:c r="G84" s="269" t="str">
        <x:v>Junior / entry</x:v>
      </x:c>
      <x:c r="H84" s="269" t="str">
        <x:v>hybrydowa</x:v>
      </x:c>
      <x:c r="I84" s="269" t="str">
        <x:v>Hybrid</x:v>
      </x:c>
      <x:c r="J84" s="269" t="str">
        <x:v>kontrakt B2B</x:v>
      </x:c>
      <x:c r="K84" s="269" t="str">
        <x:v>B2B</x:v>
      </x:c>
      <x:c r="L84" s="269" t="str">
        <x:v>operations / analiza danych</x:v>
      </x:c>
      <x:c r="M84" s="269" t="str">
        <x:v>Operations &amp; data support</x:v>
      </x:c>
      <x:c r="N84" s="269" t="str">
        <x:v>Excel, Power BI</x:v>
      </x:c>
      <x:c r="O84" s="269" t="str">
        <x:v>brak informacji</x:v>
      </x:c>
      <x:c r="P84" s="269" t="str">
        <x:v>No</x:v>
      </x:c>
      <x:c r="Q84" s="269" t="str">
        <x:v>Needs verification</x:v>
      </x:c>
      <x:c r="R84" s="269" t="str">
        <x:v>https://www.aplikuj.pl/oferta/3216565/junior-operations-analyst-m-k-kontrakt-b2b-manpowergroup-sp-z-o-o</x:v>
      </x:c>
      <x:c r="S84" s="270" t="str">
        <x:v>2026-07-09</x:v>
      </x:c>
      <x:c r="T84" s="269" t="str">
        <x:v>praca z dużymi zbiorami danych, uzgodnienia, finanse, operacje</x:v>
      </x:c>
      <x:c r="U84" s="269" t="str">
        <x:v>1–3 lata, angielski B2/C1, Excel, Power BI</x:v>
      </x:c>
      <x:c r="V84" s="269" t="str">
        <x:v>bardzo pasuje – analiza operacyjna, dane i raportowanie</x:v>
      </x:c>
      <x:c r="W84" s="269" t="str">
        <x:v>zweryfikowana w wynikach wyszukiwania</x:v>
      </x:c>
      <x:c r="X84" s="269" t="str">
        <x:v>No</x:v>
      </x:c>
      <x:c r="Y84" s="269" t="str">
        <x:v>No</x:v>
      </x:c>
    </x:row>
    <x:row r="85">
      <x:c r="A85" s="269" t="str">
        <x:v>84</x:v>
      </x:c>
      <x:c r="B85" s="269" t="str">
        <x:v>Aplikuj.pl</x:v>
      </x:c>
      <x:c r="C85" s="269" t="str">
        <x:v>Analityk danych</x:v>
      </x:c>
      <x:c r="D85" s="269" t="str">
        <x:v>różni pracodawcy</x:v>
      </x:c>
      <x:c r="E85" s="269" t="str">
        <x:v>cała Polska</x:v>
      </x:c>
      <x:c r="F85" s="269" t="str">
        <x:v>junior/specjalista</x:v>
      </x:c>
      <x:c r="G85" s="269" t="str">
        <x:v>Junior–Mid</x:v>
      </x:c>
      <x:c r="H85" s="269" t="str">
        <x:v>różny</x:v>
      </x:c>
      <x:c r="I85" s="269" t="str">
        <x:v>Mixed / flexible</x:v>
      </x:c>
      <x:c r="J85" s="269" t="str">
        <x:v>różna</x:v>
      </x:c>
      <x:c r="K85" s="269" t="str">
        <x:v>Multiple options</x:v>
      </x:c>
      <x:c r="L85" s="269" t="str">
        <x:v>analityczne / dane</x:v>
      </x:c>
      <x:c r="M85" s="269" t="str">
        <x:v>Data analysis</x:v>
      </x:c>
      <x:c r="N85" s="269" t="str">
        <x:v>Excel, SQL, Power BI</x:v>
      </x:c>
      <x:c r="O85" s="269" t="str">
        <x:v>brak informacji</x:v>
      </x:c>
      <x:c r="P85" s="269" t="str">
        <x:v>No</x:v>
      </x:c>
      <x:c r="Q85" s="269" t="str">
        <x:v>Needs verification</x:v>
      </x:c>
      <x:c r="R85" s="269" t="str">
        <x:v>https://www.aplikuj.pl/praca/analityk-danych/strona-16</x:v>
      </x:c>
      <x:c r="S85" s="270" t="str">
        <x:v>2026-07-09</x:v>
      </x:c>
      <x:c r="T85" s="269" t="str">
        <x:v>analiza danych, raportowanie, praca z informacją</x:v>
      </x:c>
      <x:c r="U85" s="269" t="str">
        <x:v>zależnie od oferty</x:v>
      </x:c>
      <x:c r="V85" s="269" t="str">
        <x:v>źródło do selekcji ofert z obszaru analityki danych</x:v>
      </x:c>
      <x:c r="W85" s="269" t="str">
        <x:v>wyniki wyszukiwania – wybrać konkretne oferty</x:v>
      </x:c>
      <x:c r="X85" s="269" t="str">
        <x:v>No</x:v>
      </x:c>
      <x:c r="Y85" s="269" t="str">
        <x:v>No</x:v>
      </x:c>
    </x:row>
    <x:row r="86">
      <x:c r="A86" s="269" t="str">
        <x:v>85</x:v>
      </x:c>
      <x:c r="B86" s="269" t="str">
        <x:v>Aplikuj.pl</x:v>
      </x:c>
      <x:c r="C86" s="269" t="str">
        <x:v>Junior Operations / Data Analyst</x:v>
      </x:c>
      <x:c r="D86" s="269" t="str">
        <x:v>różni pracodawcy</x:v>
      </x:c>
      <x:c r="E86" s="269" t="str">
        <x:v>Warszawa</x:v>
      </x:c>
      <x:c r="F86" s="269" t="str">
        <x:v>junior</x:v>
      </x:c>
      <x:c r="G86" s="269" t="str">
        <x:v>Junior / entry</x:v>
      </x:c>
      <x:c r="H86" s="269" t="str">
        <x:v>hybrydowa / zdalna</x:v>
      </x:c>
      <x:c r="I86" s="269" t="str">
        <x:v>Hybrid</x:v>
      </x:c>
      <x:c r="J86" s="269" t="str">
        <x:v>różna</x:v>
      </x:c>
      <x:c r="K86" s="269" t="str">
        <x:v>Multiple options</x:v>
      </x:c>
      <x:c r="L86" s="269" t="str">
        <x:v>operations / dane</x:v>
      </x:c>
      <x:c r="M86" s="269" t="str">
        <x:v>Operations &amp; data support</x:v>
      </x:c>
      <x:c r="N86" s="269" t="str">
        <x:v>Excel, Power BI</x:v>
      </x:c>
      <x:c r="O86" s="269" t="str">
        <x:v>brak informacji</x:v>
      </x:c>
      <x:c r="P86" s="269" t="str">
        <x:v>No</x:v>
      </x:c>
      <x:c r="Q86" s="269" t="str">
        <x:v>Needs verification</x:v>
      </x:c>
      <x:c r="R86" s="269" t="str">
        <x:v>https://www.aplikuj.pl/praca/warszawa/junior</x:v>
      </x:c>
      <x:c r="S86" s="270" t="str">
        <x:v>2026-07-09</x:v>
      </x:c>
      <x:c r="T86" s="269" t="str">
        <x:v>analiza operacyjna, raportowanie, kontrola danych</x:v>
      </x:c>
      <x:c r="U86" s="269" t="str">
        <x:v>analityka, dokładność, komunikacja</x:v>
      </x:c>
      <x:c r="V86" s="269" t="str">
        <x:v>pasuje – stanowiska operacyjno-analityczne dla juniorów</x:v>
      </x:c>
      <x:c r="W86" s="269" t="str">
        <x:v>wyniki wyszukiwania – wybrać konkretne oferty</x:v>
      </x:c>
      <x:c r="X86" s="269" t="str">
        <x:v>No</x:v>
      </x:c>
      <x:c r="Y86" s="269" t="str">
        <x:v>No</x:v>
      </x:c>
    </x:row>
    <x:row r="87">
      <x:c r="A87" s="269" t="str">
        <x:v>86</x:v>
      </x:c>
      <x:c r="B87" s="269" t="str">
        <x:v>Aplikuj.pl</x:v>
      </x:c>
      <x:c r="C87" s="269" t="str">
        <x:v>Analityk finansowy</x:v>
      </x:c>
      <x:c r="D87" s="269" t="str">
        <x:v>różni pracodawcy</x:v>
      </x:c>
      <x:c r="E87" s="269" t="str">
        <x:v>Warszawa</x:v>
      </x:c>
      <x:c r="F87" s="269" t="str">
        <x:v>junior/specjalista</x:v>
      </x:c>
      <x:c r="G87" s="269" t="str">
        <x:v>Junior–Mid</x:v>
      </x:c>
      <x:c r="H87" s="269" t="str">
        <x:v>różny</x:v>
      </x:c>
      <x:c r="I87" s="269" t="str">
        <x:v>Mixed / flexible</x:v>
      </x:c>
      <x:c r="J87" s="269" t="str">
        <x:v>różna</x:v>
      </x:c>
      <x:c r="K87" s="269" t="str">
        <x:v>Multiple options</x:v>
      </x:c>
      <x:c r="L87" s="269" t="str">
        <x:v>analityczne / finansowe</x:v>
      </x:c>
      <x:c r="M87" s="269" t="str">
        <x:v>Data analysis</x:v>
      </x:c>
      <x:c r="N87" s="269" t="str">
        <x:v>Excel, Power BI</x:v>
      </x:c>
      <x:c r="O87" s="269" t="str">
        <x:v>8 000–19 000 zł brutto/mies. w wynikach kategorii</x:v>
      </x:c>
      <x:c r="P87" s="269" t="str">
        <x:v>Yes</x:v>
      </x:c>
      <x:c r="Q87" s="269" t="str">
        <x:v>Needs verification</x:v>
      </x:c>
      <x:c r="R87" s="269" t="str">
        <x:v>https://www.aplikuj.pl/praca/warszawa/analityk-finansowy</x:v>
      </x:c>
      <x:c r="S87" s="270" t="str">
        <x:v>2026-07-09</x:v>
      </x:c>
      <x:c r="T87" s="269" t="str">
        <x:v>analiza finansowa, dane, raportowanie</x:v>
      </x:c>
      <x:c r="U87" s="269" t="str">
        <x:v>analityka, finanse, Excel</x:v>
      </x:c>
      <x:c r="V87" s="269" t="str">
        <x:v>pasuje częściowo – analiza i raportowanie, ale wymaga selekcji ofert juniorskich</x:v>
      </x:c>
      <x:c r="W87" s="269" t="str">
        <x:v>wyniki wyszukiwania – wybrać konkretne oferty</x:v>
      </x:c>
      <x:c r="X87" s="269" t="str">
        <x:v>No</x:v>
      </x:c>
      <x:c r="Y87" s="269" t="str">
        <x:v>No</x:v>
      </x:c>
    </x:row>
    <x:row r="88">
      <x:c r="A88" s="269" t="str">
        <x:v>87</x:v>
      </x:c>
      <x:c r="B88" s="269" t="str">
        <x:v>Aplikuj.pl</x:v>
      </x:c>
      <x:c r="C88" s="269" t="str">
        <x:v>Specjalista ds. dokumentacji</x:v>
      </x:c>
      <x:c r="D88" s="269" t="str">
        <x:v>różni pracodawcy</x:v>
      </x:c>
      <x:c r="E88" s="269" t="str">
        <x:v>cała Polska</x:v>
      </x:c>
      <x:c r="F88" s="269" t="str">
        <x:v>junior/specjalista</x:v>
      </x:c>
      <x:c r="G88" s="269" t="str">
        <x:v>Junior–Mid</x:v>
      </x:c>
      <x:c r="H88" s="269" t="str">
        <x:v>różny</x:v>
      </x:c>
      <x:c r="I88" s="269" t="str">
        <x:v>Mixed / flexible</x:v>
      </x:c>
      <x:c r="J88" s="269" t="str">
        <x:v>różna</x:v>
      </x:c>
      <x:c r="K88" s="269" t="str">
        <x:v>Multiple options</x:v>
      </x:c>
      <x:c r="L88" s="269" t="str">
        <x:v>dokumentacja / informacja</x:v>
      </x:c>
      <x:c r="M88" s="269" t="str">
        <x:v>Information &amp; documentation</x:v>
      </x:c>
      <x:c r="N88" s="269" t="str">
        <x:v>MS Office, systemy obiegu dokumentów</x:v>
      </x:c>
      <x:c r="O88" s="269" t="str">
        <x:v>brak informacji</x:v>
      </x:c>
      <x:c r="P88" s="269" t="str">
        <x:v>No</x:v>
      </x:c>
      <x:c r="Q88" s="269" t="str">
        <x:v>Needs verification</x:v>
      </x:c>
      <x:c r="R88" s="269" t="str">
        <x:v>https://www.aplikuj.pl/praca/specjalista-ds-dokumentacji</x:v>
      </x:c>
      <x:c r="S88" s="270" t="str">
        <x:v>2026-07-09</x:v>
      </x:c>
      <x:c r="T88" s="269" t="str">
        <x:v>zarządzanie dokumentacją, archiwizacja, porządkowanie informacji</x:v>
      </x:c>
      <x:c r="U88" s="269" t="str">
        <x:v>dokładność, organizacja pracy, MS Office</x:v>
      </x:c>
      <x:c r="V88" s="269" t="str">
        <x:v>bardzo pasuje – dokumentacja i organizacja informacji</x:v>
      </x:c>
      <x:c r="W88" s="269" t="str">
        <x:v>do weryfikacji – wyszukiwanie portalu</x:v>
      </x:c>
      <x:c r="X88" s="269" t="str">
        <x:v>No</x:v>
      </x:c>
      <x:c r="Y88" s="269" t="str">
        <x:v>Yes</x:v>
      </x:c>
    </x:row>
    <x:row r="89">
      <x:c r="A89" s="269" t="str">
        <x:v>88</x:v>
      </x:c>
      <x:c r="B89" s="269" t="str">
        <x:v>OLX Praca</x:v>
      </x:c>
      <x:c r="C89" s="269" t="str">
        <x:v>Młodszy specjalista ds. administracji i dokumentacji</x:v>
      </x:c>
      <x:c r="D89" s="269" t="str">
        <x:v>różni pracodawcy</x:v>
      </x:c>
      <x:c r="E89" s="269" t="str">
        <x:v>cała Polska</x:v>
      </x:c>
      <x:c r="F89" s="269" t="str">
        <x:v>junior</x:v>
      </x:c>
      <x:c r="G89" s="269" t="str">
        <x:v>Junior / entry</x:v>
      </x:c>
      <x:c r="H89" s="269" t="str">
        <x:v>stacjonarna / hybrydowa</x:v>
      </x:c>
      <x:c r="I89" s="269" t="str">
        <x:v>Hybrid</x:v>
      </x:c>
      <x:c r="J89" s="269" t="str">
        <x:v>umowa o pracę / zlecenie</x:v>
      </x:c>
      <x:c r="K89" s="269" t="str">
        <x:v>Multiple options</x:v>
      </x:c>
      <x:c r="L89" s="269" t="str">
        <x:v>administracyjno-informacyjne</x:v>
      </x:c>
      <x:c r="M89" s="269" t="str">
        <x:v>Operations &amp; data support</x:v>
      </x:c>
      <x:c r="N89" s="269" t="str">
        <x:v>MS Office</x:v>
      </x:c>
      <x:c r="O89" s="269" t="str">
        <x:v>brak informacji</x:v>
      </x:c>
      <x:c r="P89" s="269" t="str">
        <x:v>No</x:v>
      </x:c>
      <x:c r="Q89" s="269" t="str">
        <x:v>Needs verification</x:v>
      </x:c>
      <x:c r="R89" s="269" t="str">
        <x:v>https://www.olx.pl/praca/q-m%C5%82odszy-specjalista-ds-dokumentacji/</x:v>
      </x:c>
      <x:c r="S89" s="270" t="str">
        <x:v>2026-07-09</x:v>
      </x:c>
      <x:c r="T89" s="269" t="str">
        <x:v>obsługa dokumentów, wprowadzanie danych, archiwizacja informacji</x:v>
      </x:c>
      <x:c r="U89" s="269" t="str">
        <x:v>dokładność, organizacja, MS Office</x:v>
      </x:c>
      <x:c r="V89" s="269" t="str">
        <x:v>pasuje – praca z dokumentacją i danymi organizacyjnymi</x:v>
      </x:c>
      <x:c r="W89" s="269" t="str">
        <x:v>do weryfikacji – wyniki OLX</x:v>
      </x:c>
      <x:c r="X89" s="269" t="str">
        <x:v>No</x:v>
      </x:c>
      <x:c r="Y89" s="269" t="str">
        <x:v>No</x:v>
      </x:c>
    </x:row>
    <x:row r="90">
      <x:c r="A90" s="269" t="str">
        <x:v>89</x:v>
      </x:c>
      <x:c r="B90" s="269" t="str">
        <x:v>OLX Praca</x:v>
      </x:c>
      <x:c r="C90" s="269" t="str">
        <x:v>Pracownik administracyjny / wprowadzanie danych</x:v>
      </x:c>
      <x:c r="D90" s="269" t="str">
        <x:v>różni pracodawcy</x:v>
      </x:c>
      <x:c r="E90" s="269" t="str">
        <x:v>cała Polska</x:v>
      </x:c>
      <x:c r="F90" s="269" t="str">
        <x:v>entry-level</x:v>
      </x:c>
      <x:c r="G90" s="269" t="str">
        <x:v>Junior / entry</x:v>
      </x:c>
      <x:c r="H90" s="269" t="str">
        <x:v>stacjonarna</x:v>
      </x:c>
      <x:c r="I90" s="269" t="str">
        <x:v>On-site</x:v>
      </x:c>
      <x:c r="J90" s="269" t="str">
        <x:v>różna</x:v>
      </x:c>
      <x:c r="K90" s="269" t="str">
        <x:v>Multiple options</x:v>
      </x:c>
      <x:c r="L90" s="269" t="str">
        <x:v>wprowadzanie danych / administracja</x:v>
      </x:c>
      <x:c r="M90" s="269" t="str">
        <x:v>Operations &amp; data support</x:v>
      </x:c>
      <x:c r="N90" s="269" t="str">
        <x:v>MS Office, systemy wewnętrzne</x:v>
      </x:c>
      <x:c r="O90" s="269" t="str">
        <x:v>brak informacji</x:v>
      </x:c>
      <x:c r="P90" s="269" t="str">
        <x:v>No</x:v>
      </x:c>
      <x:c r="Q90" s="269" t="str">
        <x:v>Needs verification</x:v>
      </x:c>
      <x:c r="R90" s="269" t="str">
        <x:v>https://www.olx.pl/praca/q-wprowadzanie-danych/</x:v>
      </x:c>
      <x:c r="S90" s="270" t="str">
        <x:v>2026-07-09</x:v>
      </x:c>
      <x:c r="T90" s="269" t="str">
        <x:v>wprowadzanie i porządkowanie danych, obsługa dokumentów</x:v>
      </x:c>
      <x:c r="U90" s="269" t="str">
        <x:v>dokładność, podstawowa obsługa komputera</x:v>
      </x:c>
      <x:c r="V90" s="269" t="str">
        <x:v>pasuje warunkowo – podstawowy poziom pracy z danymi i informacją</x:v>
      </x:c>
      <x:c r="W90" s="269" t="str">
        <x:v>do weryfikacji – wyniki OLX</x:v>
      </x:c>
      <x:c r="X90" s="269" t="str">
        <x:v>No</x:v>
      </x:c>
      <x:c r="Y90" s="269" t="str">
        <x:v>No</x:v>
      </x:c>
    </x:row>
    <x:row r="91">
      <x:c r="A91" s="269" t="str">
        <x:v>90</x:v>
      </x:c>
      <x:c r="B91" s="269" t="str">
        <x:v>OLX Praca</x:v>
      </x:c>
      <x:c r="C91" s="269" t="str">
        <x:v>Młodszy specjalista ds. obsługi klienta i administracji</x:v>
      </x:c>
      <x:c r="D91" s="269" t="str">
        <x:v>różni pracodawcy</x:v>
      </x:c>
      <x:c r="E91" s="269" t="str">
        <x:v>cała Polska</x:v>
      </x:c>
      <x:c r="F91" s="269" t="str">
        <x:v>junior</x:v>
      </x:c>
      <x:c r="G91" s="269" t="str">
        <x:v>Junior / entry</x:v>
      </x:c>
      <x:c r="H91" s="269" t="str">
        <x:v>stacjonarna / hybrydowa</x:v>
      </x:c>
      <x:c r="I91" s="269" t="str">
        <x:v>Hybrid</x:v>
      </x:c>
      <x:c r="J91" s="269" t="str">
        <x:v>różna</x:v>
      </x:c>
      <x:c r="K91" s="269" t="str">
        <x:v>Multiple options</x:v>
      </x:c>
      <x:c r="L91" s="269" t="str">
        <x:v>obsługa klienta / informacja</x:v>
      </x:c>
      <x:c r="M91" s="269" t="str">
        <x:v>Information &amp; documentation</x:v>
      </x:c>
      <x:c r="N91" s="269" t="str">
        <x:v>CRM, MS Office</x:v>
      </x:c>
      <x:c r="O91" s="269" t="str">
        <x:v>brak informacji</x:v>
      </x:c>
      <x:c r="P91" s="269" t="str">
        <x:v>No</x:v>
      </x:c>
      <x:c r="Q91" s="269" t="str">
        <x:v>Needs verification</x:v>
      </x:c>
      <x:c r="R91" s="269" t="str">
        <x:v>https://www.olx.pl/praca/q-m%C5%82odszy-specjalista-ds-obs%C5%82ugi-klienta/</x:v>
      </x:c>
      <x:c r="S91" s="270" t="str">
        <x:v>2026-07-09</x:v>
      </x:c>
      <x:c r="T91" s="269" t="str">
        <x:v>obsługa zgłoszeń, aktualizacja danych, komunikacja informacyjna</x:v>
      </x:c>
      <x:c r="U91" s="269" t="str">
        <x:v>komunikacja, dokładność, praca z systemem</x:v>
      </x:c>
      <x:c r="V91" s="269" t="str">
        <x:v>pasuje – komunikacja informacyjna i aktualizacja danych w systemie</x:v>
      </x:c>
      <x:c r="W91" s="269" t="str">
        <x:v>do weryfikacji – wyniki OLX</x:v>
      </x:c>
      <x:c r="X91" s="269" t="str">
        <x:v>No</x:v>
      </x:c>
      <x:c r="Y91" s="269" t="str">
        <x:v>No</x:v>
      </x:c>
    </x:row>
    <x:row r="92">
      <x:c r="A92" s="269" t="str">
        <x:v>91</x:v>
      </x:c>
      <x:c r="B92" s="269" t="str">
        <x:v>OLX Praca</x:v>
      </x:c>
      <x:c r="C92" s="269" t="str">
        <x:v>Asystent / Asystentka ds. dokumentacji</x:v>
      </x:c>
      <x:c r="D92" s="269" t="str">
        <x:v>różni pracodawcy</x:v>
      </x:c>
      <x:c r="E92" s="269" t="str">
        <x:v>cała Polska</x:v>
      </x:c>
      <x:c r="F92" s="269" t="str">
        <x:v>entry-level</x:v>
      </x:c>
      <x:c r="G92" s="269" t="str">
        <x:v>Junior / entry</x:v>
      </x:c>
      <x:c r="H92" s="269" t="str">
        <x:v>stacjonarna</x:v>
      </x:c>
      <x:c r="I92" s="269" t="str">
        <x:v>On-site</x:v>
      </x:c>
      <x:c r="J92" s="269" t="str">
        <x:v>różna</x:v>
      </x:c>
      <x:c r="K92" s="269" t="str">
        <x:v>Multiple options</x:v>
      </x:c>
      <x:c r="L92" s="269" t="str">
        <x:v>dokumentacja / administracja</x:v>
      </x:c>
      <x:c r="M92" s="269" t="str">
        <x:v>Information &amp; documentation</x:v>
      </x:c>
      <x:c r="N92" s="269" t="str">
        <x:v>MS Office</x:v>
      </x:c>
      <x:c r="O92" s="269" t="str">
        <x:v>brak informacji</x:v>
      </x:c>
      <x:c r="P92" s="269" t="str">
        <x:v>No</x:v>
      </x:c>
      <x:c r="Q92" s="269" t="str">
        <x:v>Needs verification</x:v>
      </x:c>
      <x:c r="R92" s="269" t="str">
        <x:v>https://www.olx.pl/praca/q-asystent-ds-dokumentacji/</x:v>
      </x:c>
      <x:c r="S92" s="270" t="str">
        <x:v>2026-07-09</x:v>
      </x:c>
      <x:c r="T92" s="269" t="str">
        <x:v>kompletowanie, porządkowanie i archiwizacja dokumentów</x:v>
      </x:c>
      <x:c r="U92" s="269" t="str">
        <x:v>dokładność, organizacja pracy</x:v>
      </x:c>
      <x:c r="V92" s="269" t="str">
        <x:v>pasuje – wejściowe stanowisko dokumentacyjne</x:v>
      </x:c>
      <x:c r="W92" s="269" t="str">
        <x:v>do weryfikacji – wyniki OLX</x:v>
      </x:c>
      <x:c r="X92" s="269" t="str">
        <x:v>No</x:v>
      </x:c>
      <x:c r="Y92" s="269" t="str">
        <x:v>No</x:v>
      </x:c>
    </x:row>
    <x:row r="93">
      <x:c r="A93" s="269" t="str">
        <x:v>92</x:v>
      </x:c>
      <x:c r="B93" s="269" t="str">
        <x:v>Bulldogjob</x:v>
      </x:c>
      <x:c r="C93" s="269" t="str">
        <x:v>Junior Data Analyst</x:v>
      </x:c>
      <x:c r="D93" s="269" t="str">
        <x:v>różni pracodawcy</x:v>
      </x:c>
      <x:c r="E93" s="269" t="str">
        <x:v>Polska</x:v>
      </x:c>
      <x:c r="F93" s="269" t="str">
        <x:v>junior</x:v>
      </x:c>
      <x:c r="G93" s="269" t="str">
        <x:v>Junior / entry</x:v>
      </x:c>
      <x:c r="H93" s="269" t="str">
        <x:v>zdalna / hybrydowa</x:v>
      </x:c>
      <x:c r="I93" s="269" t="str">
        <x:v>Hybrid</x:v>
      </x:c>
      <x:c r="J93" s="269" t="str">
        <x:v>B2B / UoP</x:v>
      </x:c>
      <x:c r="K93" s="269" t="str">
        <x:v>Multiple options</x:v>
      </x:c>
      <x:c r="L93" s="269" t="str">
        <x:v>analityczne / dane / IT</x:v>
      </x:c>
      <x:c r="M93" s="269" t="str">
        <x:v>Data analysis</x:v>
      </x:c>
      <x:c r="N93" s="269" t="str">
        <x:v>SQL, Python, BI</x:v>
      </x:c>
      <x:c r="O93" s="269" t="str">
        <x:v>brak informacji</x:v>
      </x:c>
      <x:c r="P93" s="269" t="str">
        <x:v>No</x:v>
      </x:c>
      <x:c r="Q93" s="269" t="str">
        <x:v>Needs verification</x:v>
      </x:c>
      <x:c r="R93" s="269" t="str">
        <x:v>https://bulldogjob.pl/companies/jobs/s/city,Polska/skills,Data%20Analyst?experience=junior</x:v>
      </x:c>
      <x:c r="S93" s="270" t="str">
        <x:v>2026-07-09</x:v>
      </x:c>
      <x:c r="T93" s="269" t="str">
        <x:v>analiza danych, przygotowywanie raportów, współpraca z zespołami IT/biznes</x:v>
      </x:c>
      <x:c r="U93" s="269" t="str">
        <x:v>SQL, Excel/BI, angielski</x:v>
      </x:c>
      <x:c r="V93" s="269" t="str">
        <x:v>pasuje – portal technologiczny, oferty data/analytics</x:v>
      </x:c>
      <x:c r="W93" s="269" t="str">
        <x:v>do weryfikacji – wyniki portalu</x:v>
      </x:c>
      <x:c r="X93" s="269" t="str">
        <x:v>No</x:v>
      </x:c>
      <x:c r="Y93" s="269" t="str">
        <x:v>No</x:v>
      </x:c>
    </x:row>
    <x:row r="94">
      <x:c r="A94" s="269" t="str">
        <x:v>93</x:v>
      </x:c>
      <x:c r="B94" s="269" t="str">
        <x:v>Bulldogjob</x:v>
      </x:c>
      <x:c r="C94" s="269" t="str">
        <x:v>Junior Business Analyst</x:v>
      </x:c>
      <x:c r="D94" s="269" t="str">
        <x:v>różni pracodawcy</x:v>
      </x:c>
      <x:c r="E94" s="269" t="str">
        <x:v>Polska</x:v>
      </x:c>
      <x:c r="F94" s="269" t="str">
        <x:v>junior</x:v>
      </x:c>
      <x:c r="G94" s="269" t="str">
        <x:v>Junior / entry</x:v>
      </x:c>
      <x:c r="H94" s="269" t="str">
        <x:v>zdalna / hybrydowa</x:v>
      </x:c>
      <x:c r="I94" s="269" t="str">
        <x:v>Hybrid</x:v>
      </x:c>
      <x:c r="J94" s="269" t="str">
        <x:v>B2B / UoP</x:v>
      </x:c>
      <x:c r="K94" s="269" t="str">
        <x:v>Multiple options</x:v>
      </x:c>
      <x:c r="L94" s="269" t="str">
        <x:v>analiza biznesowa / dokumentacja</x:v>
      </x:c>
      <x:c r="M94" s="269" t="str">
        <x:v>Information &amp; documentation</x:v>
      </x:c>
      <x:c r="N94" s="269" t="str">
        <x:v>UML, Jira, Confluence</x:v>
      </x:c>
      <x:c r="O94" s="269" t="str">
        <x:v>brak informacji</x:v>
      </x:c>
      <x:c r="P94" s="269" t="str">
        <x:v>No</x:v>
      </x:c>
      <x:c r="Q94" s="269" t="str">
        <x:v>Needs verification</x:v>
      </x:c>
      <x:c r="R94" s="269" t="str">
        <x:v>https://bulldogjob.pl/companies/jobs/s/city,Polska/skills,Business%20Analyst?experience=junior</x:v>
      </x:c>
      <x:c r="S94" s="270" t="str">
        <x:v>2026-07-09</x:v>
      </x:c>
      <x:c r="T94" s="269" t="str">
        <x:v>analiza wymagań, dokumentowanie procesów, komunikacja z interesariuszami</x:v>
      </x:c>
      <x:c r="U94" s="269" t="str">
        <x:v>komunikacja, analityka, dokumentacja</x:v>
      </x:c>
      <x:c r="V94" s="269" t="str">
        <x:v>bardzo pasuje – analiza informacji i dokumentacja wymagań</x:v>
      </x:c>
      <x:c r="W94" s="269" t="str">
        <x:v>do weryfikacji – wyniki portalu</x:v>
      </x:c>
      <x:c r="X94" s="269" t="str">
        <x:v>No</x:v>
      </x:c>
      <x:c r="Y94" s="269" t="str">
        <x:v>No</x:v>
      </x:c>
    </x:row>
    <x:row r="95">
      <x:c r="A95" s="269" t="str">
        <x:v>94</x:v>
      </x:c>
      <x:c r="B95" s="269" t="str">
        <x:v>Bulldogjob</x:v>
      </x:c>
      <x:c r="C95" s="269" t="str">
        <x:v>Junior BI Analyst</x:v>
      </x:c>
      <x:c r="D95" s="269" t="str">
        <x:v>różni pracodawcy</x:v>
      </x:c>
      <x:c r="E95" s="269" t="str">
        <x:v>Polska</x:v>
      </x:c>
      <x:c r="F95" s="269" t="str">
        <x:v>junior</x:v>
      </x:c>
      <x:c r="G95" s="269" t="str">
        <x:v>Junior / entry</x:v>
      </x:c>
      <x:c r="H95" s="269" t="str">
        <x:v>zdalna / hybrydowa</x:v>
      </x:c>
      <x:c r="I95" s="269" t="str">
        <x:v>Hybrid</x:v>
      </x:c>
      <x:c r="J95" s="269" t="str">
        <x:v>różna</x:v>
      </x:c>
      <x:c r="K95" s="269" t="str">
        <x:v>Multiple options</x:v>
      </x:c>
      <x:c r="L95" s="269" t="str">
        <x:v>BI / raportowanie</x:v>
      </x:c>
      <x:c r="M95" s="269" t="str">
        <x:v>Reporting &amp; BI</x:v>
      </x:c>
      <x:c r="N95" s="269" t="str">
        <x:v>SQL, Power BI, Excel</x:v>
      </x:c>
      <x:c r="O95" s="269" t="str">
        <x:v>brak informacji</x:v>
      </x:c>
      <x:c r="P95" s="269" t="str">
        <x:v>No</x:v>
      </x:c>
      <x:c r="Q95" s="269" t="str">
        <x:v>Needs verification</x:v>
      </x:c>
      <x:c r="R95" s="269" t="str">
        <x:v>https://bulldogjob.pl/companies/jobs/s/city,Polska/skills,Power%20BI?experience=junior</x:v>
      </x:c>
      <x:c r="S95" s="270" t="str">
        <x:v>2026-07-09</x:v>
      </x:c>
      <x:c r="T95" s="269" t="str">
        <x:v>tworzenie raportów, analiza danych, dashboardy</x:v>
      </x:c>
      <x:c r="U95" s="269" t="str">
        <x:v>SQL, Power BI, analityka</x:v>
      </x:c>
      <x:c r="V95" s="269" t="str">
        <x:v>bardzo pasuje – BI, raportowanie i analiza danych</x:v>
      </x:c>
      <x:c r="W95" s="269" t="str">
        <x:v>do weryfikacji – wyniki portalu</x:v>
      </x:c>
      <x:c r="X95" s="269" t="str">
        <x:v>No</x:v>
      </x:c>
      <x:c r="Y95" s="269" t="str">
        <x:v>No</x:v>
      </x:c>
    </x:row>
    <x:row r="96">
      <x:c r="A96" s="269" t="str">
        <x:v>95</x:v>
      </x:c>
      <x:c r="B96" s="269" t="str">
        <x:v>GoWork.pl</x:v>
      </x:c>
      <x:c r="C96" s="269" t="str">
        <x:v>Młodszy Analityk Danych</x:v>
      </x:c>
      <x:c r="D96" s="269" t="str">
        <x:v>różni pracodawcy</x:v>
      </x:c>
      <x:c r="E96" s="269" t="str">
        <x:v>cała Polska</x:v>
      </x:c>
      <x:c r="F96" s="269" t="str">
        <x:v>junior</x:v>
      </x:c>
      <x:c r="G96" s="269" t="str">
        <x:v>Junior / entry</x:v>
      </x:c>
      <x:c r="H96" s="269" t="str">
        <x:v>różny</x:v>
      </x:c>
      <x:c r="I96" s="269" t="str">
        <x:v>Mixed / flexible</x:v>
      </x:c>
      <x:c r="J96" s="269" t="str">
        <x:v>różna</x:v>
      </x:c>
      <x:c r="K96" s="269" t="str">
        <x:v>Multiple options</x:v>
      </x:c>
      <x:c r="L96" s="269" t="str">
        <x:v>analityczne / dane</x:v>
      </x:c>
      <x:c r="M96" s="269" t="str">
        <x:v>Data analysis</x:v>
      </x:c>
      <x:c r="N96" s="269" t="str">
        <x:v>Excel, SQL, Power BI</x:v>
      </x:c>
      <x:c r="O96" s="269" t="str">
        <x:v>brak informacji</x:v>
      </x:c>
      <x:c r="P96" s="269" t="str">
        <x:v>No</x:v>
      </x:c>
      <x:c r="Q96" s="269" t="str">
        <x:v>Needs verification</x:v>
      </x:c>
      <x:c r="R96" s="269" t="str">
        <x:v>https://www.gowork.pl/praca/analityk-danych;st</x:v>
      </x:c>
      <x:c r="S96" s="270" t="str">
        <x:v>2026-07-09</x:v>
      </x:c>
      <x:c r="T96" s="269" t="str">
        <x:v>analiza danych, zestawienia, raportowanie</x:v>
      </x:c>
      <x:c r="U96" s="269" t="str">
        <x:v>umiejętności analityczne, Excel</x:v>
      </x:c>
      <x:c r="V96" s="269" t="str">
        <x:v>pasuje – dodatkowy portal ogólny z ofertami pracy</x:v>
      </x:c>
      <x:c r="W96" s="269" t="str">
        <x:v>do weryfikacji – wyniki GoWork</x:v>
      </x:c>
      <x:c r="X96" s="269" t="str">
        <x:v>No</x:v>
      </x:c>
      <x:c r="Y96" s="269" t="str">
        <x:v>No</x:v>
      </x:c>
    </x:row>
    <x:row r="97">
      <x:c r="A97" s="269" t="str">
        <x:v>96</x:v>
      </x:c>
      <x:c r="B97" s="269" t="str">
        <x:v>GoWork.pl</x:v>
      </x:c>
      <x:c r="C97" s="269" t="str">
        <x:v>Specjalista ds. raportowania</x:v>
      </x:c>
      <x:c r="D97" s="269" t="str">
        <x:v>różni pracodawcy</x:v>
      </x:c>
      <x:c r="E97" s="269" t="str">
        <x:v>cała Polska</x:v>
      </x:c>
      <x:c r="F97" s="269" t="str">
        <x:v>junior/specjalista</x:v>
      </x:c>
      <x:c r="G97" s="269" t="str">
        <x:v>Junior–Mid</x:v>
      </x:c>
      <x:c r="H97" s="269" t="str">
        <x:v>różny</x:v>
      </x:c>
      <x:c r="I97" s="269" t="str">
        <x:v>Mixed / flexible</x:v>
      </x:c>
      <x:c r="J97" s="269" t="str">
        <x:v>różna</x:v>
      </x:c>
      <x:c r="K97" s="269" t="str">
        <x:v>Multiple options</x:v>
      </x:c>
      <x:c r="L97" s="269" t="str">
        <x:v>raportowanie / analityka</x:v>
      </x:c>
      <x:c r="M97" s="269" t="str">
        <x:v>Reporting &amp; BI</x:v>
      </x:c>
      <x:c r="N97" s="269" t="str">
        <x:v>Excel, Power BI</x:v>
      </x:c>
      <x:c r="O97" s="269" t="str">
        <x:v>brak informacji</x:v>
      </x:c>
      <x:c r="P97" s="269" t="str">
        <x:v>No</x:v>
      </x:c>
      <x:c r="Q97" s="269" t="str">
        <x:v>Needs verification</x:v>
      </x:c>
      <x:c r="R97" s="269" t="str">
        <x:v>https://www.gowork.pl/praca/specjalista-ds-raportowania;st</x:v>
      </x:c>
      <x:c r="S97" s="270" t="str">
        <x:v>2026-07-09</x:v>
      </x:c>
      <x:c r="T97" s="269" t="str">
        <x:v>przygotowywanie raportów, obsługa danych, analiza informacji</x:v>
      </x:c>
      <x:c r="U97" s="269" t="str">
        <x:v>Excel, dokładność, analityka</x:v>
      </x:c>
      <x:c r="V97" s="269" t="str">
        <x:v>pasuje – raportowanie i praca z informacją</x:v>
      </x:c>
      <x:c r="W97" s="269" t="str">
        <x:v>do weryfikacji – wyniki GoWork</x:v>
      </x:c>
      <x:c r="X97" s="269" t="str">
        <x:v>No</x:v>
      </x:c>
      <x:c r="Y97" s="269" t="str">
        <x:v>No</x:v>
      </x:c>
    </x:row>
    <x:row r="98">
      <x:c r="A98" s="269" t="str">
        <x:v>97</x:v>
      </x:c>
      <x:c r="B98" s="269" t="str">
        <x:v>GoWork.pl</x:v>
      </x:c>
      <x:c r="C98" s="269" t="str">
        <x:v>Specjalista ds. dokumentacji</x:v>
      </x:c>
      <x:c r="D98" s="269" t="str">
        <x:v>różni pracodawcy</x:v>
      </x:c>
      <x:c r="E98" s="269" t="str">
        <x:v>cała Polska</x:v>
      </x:c>
      <x:c r="F98" s="269" t="str">
        <x:v>junior/specjalista</x:v>
      </x:c>
      <x:c r="G98" s="269" t="str">
        <x:v>Junior–Mid</x:v>
      </x:c>
      <x:c r="H98" s="269" t="str">
        <x:v>różny</x:v>
      </x:c>
      <x:c r="I98" s="269" t="str">
        <x:v>Mixed / flexible</x:v>
      </x:c>
      <x:c r="J98" s="269" t="str">
        <x:v>różna</x:v>
      </x:c>
      <x:c r="K98" s="269" t="str">
        <x:v>Multiple options</x:v>
      </x:c>
      <x:c r="L98" s="269" t="str">
        <x:v>dokumentacja / informacja</x:v>
      </x:c>
      <x:c r="M98" s="269" t="str">
        <x:v>Information &amp; documentation</x:v>
      </x:c>
      <x:c r="N98" s="269" t="str">
        <x:v>MS Office, system obiegu dokumentów</x:v>
      </x:c>
      <x:c r="O98" s="269" t="str">
        <x:v>brak informacji</x:v>
      </x:c>
      <x:c r="P98" s="269" t="str">
        <x:v>No</x:v>
      </x:c>
      <x:c r="Q98" s="269" t="str">
        <x:v>Needs verification</x:v>
      </x:c>
      <x:c r="R98" s="269" t="str">
        <x:v>https://www.gowork.pl/praca/specjalista-ds-dokumentacji;st</x:v>
      </x:c>
      <x:c r="S98" s="270" t="str">
        <x:v>2026-07-09</x:v>
      </x:c>
      <x:c r="T98" s="269" t="str">
        <x:v>obsługa dokumentacji, archiwizacja, aktualizacja danych</x:v>
      </x:c>
      <x:c r="U98" s="269" t="str">
        <x:v>dokładność, MS Office, organizacja</x:v>
      </x:c>
      <x:c r="V98" s="269" t="str">
        <x:v>bardzo pasuje – zarządzanie dokumentacją i informacją</x:v>
      </x:c>
      <x:c r="W98" s="269" t="str">
        <x:v>do weryfikacji – wyniki GoWork</x:v>
      </x:c>
      <x:c r="X98" s="269" t="str">
        <x:v>No</x:v>
      </x:c>
      <x:c r="Y98" s="269" t="str">
        <x:v>Yes</x:v>
      </x:c>
    </x:row>
    <x:row r="99">
      <x:c r="A99" s="269" t="str">
        <x:v>98</x:v>
      </x:c>
      <x:c r="B99" s="269" t="str">
        <x:v>LinkedIn</x:v>
      </x:c>
      <x:c r="C99" s="269" t="str">
        <x:v>Junior Research Analyst</x:v>
      </x:c>
      <x:c r="D99" s="269" t="str">
        <x:v>różni pracodawcy</x:v>
      </x:c>
      <x:c r="E99" s="269" t="str">
        <x:v>Polska</x:v>
      </x:c>
      <x:c r="F99" s="269" t="str">
        <x:v>junior</x:v>
      </x:c>
      <x:c r="G99" s="269" t="str">
        <x:v>Junior / entry</x:v>
      </x:c>
      <x:c r="H99" s="269" t="str">
        <x:v>zdalna / hybrydowa</x:v>
      </x:c>
      <x:c r="I99" s="269" t="str">
        <x:v>Hybrid</x:v>
      </x:c>
      <x:c r="J99" s="269" t="str">
        <x:v>różna</x:v>
      </x:c>
      <x:c r="K99" s="269" t="str">
        <x:v>Multiple options</x:v>
      </x:c>
      <x:c r="L99" s="269" t="str">
        <x:v>research / analiza informacji</x:v>
      </x:c>
      <x:c r="M99" s="269" t="str">
        <x:v>Information &amp; documentation</x:v>
      </x:c>
      <x:c r="N99" s="269" t="str">
        <x:v>Excel, narzędzia researchowe</x:v>
      </x:c>
      <x:c r="O99" s="269" t="str">
        <x:v>brak informacji</x:v>
      </x:c>
      <x:c r="P99" s="269" t="str">
        <x:v>No</x:v>
      </x:c>
      <x:c r="Q99" s="269" t="str">
        <x:v>Needs verification</x:v>
      </x:c>
      <x:c r="R99" s="269" t="str">
        <x:v>https://pl.linkedin.com/jobs/junior-research-analyst-jobs</x:v>
      </x:c>
      <x:c r="S99" s="270" t="str">
        <x:v>2026-07-09</x:v>
      </x:c>
      <x:c r="T99" s="269" t="str">
        <x:v>wyszukiwanie, selekcja i analiza informacji, przygotowanie zestawień</x:v>
      </x:c>
      <x:c r="U99" s="269" t="str">
        <x:v>angielski, research, dokładność</x:v>
      </x:c>
      <x:c r="V99" s="269" t="str">
        <x:v>bardzo pasuje – analiza i selekcja informacji</x:v>
      </x:c>
      <x:c r="W99" s="269" t="str">
        <x:v>wyniki LinkedIn – wybrać konkretne oferty</x:v>
      </x:c>
      <x:c r="X99" s="269" t="str">
        <x:v>No</x:v>
      </x:c>
      <x:c r="Y99" s="269" t="str">
        <x:v>No</x:v>
      </x:c>
    </x:row>
    <x:row r="100">
      <x:c r="A100" s="269" t="str">
        <x:v>99</x:v>
      </x:c>
      <x:c r="B100" s="269" t="str">
        <x:v>LinkedIn</x:v>
      </x:c>
      <x:c r="C100" s="269" t="str">
        <x:v>Junior Reporting Analyst</x:v>
      </x:c>
      <x:c r="D100" s="269" t="str">
        <x:v>różni pracodawcy</x:v>
      </x:c>
      <x:c r="E100" s="269" t="str">
        <x:v>Polska</x:v>
      </x:c>
      <x:c r="F100" s="269" t="str">
        <x:v>junior</x:v>
      </x:c>
      <x:c r="G100" s="269" t="str">
        <x:v>Junior / entry</x:v>
      </x:c>
      <x:c r="H100" s="269" t="str">
        <x:v>zdalna / hybrydowa</x:v>
      </x:c>
      <x:c r="I100" s="269" t="str">
        <x:v>Hybrid</x:v>
      </x:c>
      <x:c r="J100" s="269" t="str">
        <x:v>różna</x:v>
      </x:c>
      <x:c r="K100" s="269" t="str">
        <x:v>Multiple options</x:v>
      </x:c>
      <x:c r="L100" s="269" t="str">
        <x:v>raportowanie / dane</x:v>
      </x:c>
      <x:c r="M100" s="269" t="str">
        <x:v>Reporting &amp; BI</x:v>
      </x:c>
      <x:c r="N100" s="269" t="str">
        <x:v>Excel, Power BI, SQL</x:v>
      </x:c>
      <x:c r="O100" s="269" t="str">
        <x:v>brak informacji</x:v>
      </x:c>
      <x:c r="P100" s="269" t="str">
        <x:v>No</x:v>
      </x:c>
      <x:c r="Q100" s="269" t="str">
        <x:v>Needs verification</x:v>
      </x:c>
      <x:c r="R100" s="269" t="str">
        <x:v>https://pl.linkedin.com/jobs/junior-reporting-analyst-jobs</x:v>
      </x:c>
      <x:c r="S100" s="270" t="str">
        <x:v>2026-07-09</x:v>
      </x:c>
      <x:c r="T100" s="269" t="str">
        <x:v>raportowanie, analiza danych, przygotowywanie zestawień</x:v>
      </x:c>
      <x:c r="U100" s="269" t="str">
        <x:v>Excel/Power BI/SQL, angielski</x:v>
      </x:c>
      <x:c r="V100" s="269" t="str">
        <x:v>bardzo pasuje – raportowanie i dane organizacyjne</x:v>
      </x:c>
      <x:c r="W100" s="269" t="str">
        <x:v>wyniki LinkedIn – wybrać konkretne oferty</x:v>
      </x:c>
      <x:c r="X100" s="269" t="str">
        <x:v>No</x:v>
      </x:c>
      <x:c r="Y100" s="269" t="str">
        <x:v>No</x:v>
      </x:c>
    </x:row>
    <x:row r="101">
      <x:c r="A101" s="269" t="str">
        <x:v>100</x:v>
      </x:c>
      <x:c r="B101" s="269" t="str">
        <x:v>LinkedIn</x:v>
      </x:c>
      <x:c r="C101" s="269" t="str">
        <x:v>Junior Knowledge Management Specialist</x:v>
      </x:c>
      <x:c r="D101" s="269" t="str">
        <x:v>różni pracodawcy</x:v>
      </x:c>
      <x:c r="E101" s="269" t="str">
        <x:v>Polska</x:v>
      </x:c>
      <x:c r="F101" s="269" t="str">
        <x:v>junior</x:v>
      </x:c>
      <x:c r="G101" s="269" t="str">
        <x:v>Junior / entry</x:v>
      </x:c>
      <x:c r="H101" s="269" t="str">
        <x:v>zdalna / hybrydowa</x:v>
      </x:c>
      <x:c r="I101" s="269" t="str">
        <x:v>Hybrid</x:v>
      </x:c>
      <x:c r="J101" s="269" t="str">
        <x:v>różna</x:v>
      </x:c>
      <x:c r="K101" s="269" t="str">
        <x:v>Multiple options</x:v>
      </x:c>
      <x:c r="L101" s="269" t="str">
        <x:v>knowledge management / informacja</x:v>
      </x:c>
      <x:c r="M101" s="269" t="str">
        <x:v>Information &amp; documentation</x:v>
      </x:c>
      <x:c r="N101" s="269" t="str">
        <x:v>MS Office, systemy wiedzy</x:v>
      </x:c>
      <x:c r="O101" s="269" t="str">
        <x:v>brak informacji</x:v>
      </x:c>
      <x:c r="P101" s="269" t="str">
        <x:v>No</x:v>
      </x:c>
      <x:c r="Q101" s="269" t="str">
        <x:v>Needs verification</x:v>
      </x:c>
      <x:c r="R101" s="269" t="str">
        <x:v>https://pl.linkedin.com/jobs/junior-knowledge-management-specialist-jobs</x:v>
      </x:c>
      <x:c r="S101" s="270" t="str">
        <x:v>2026-07-09</x:v>
      </x:c>
      <x:c r="T101" s="269" t="str">
        <x:v>porządkowanie wiedzy organizacyjnej, dokumentacja, bazy wiedzy</x:v>
      </x:c>
      <x:c r="U101" s="269" t="str">
        <x:v>komunikacja, organizacja informacji, angielski</x:v>
      </x:c>
      <x:c r="V101" s="269" t="str">
        <x:v>bardzo pasuje – bezpośrednio obszar zarządzania wiedzą i informacją</x:v>
      </x:c>
      <x:c r="W101" s="269" t="str">
        <x:v>wyniki LinkedIn – wybrać konkretne oferty</x:v>
      </x:c>
      <x:c r="X101" s="269" t="str">
        <x:v>No</x:v>
      </x:c>
      <x:c r="Y101" s="269" t="str">
        <x:v>No</x:v>
      </x:c>
    </x:row>
  </x:sheetData>
  <x:conditionalFormatting sqref="P2:P101">
    <x:cfRule type="expression" dxfId="0" priority="1">
      <x:formula>P2="Yes"</x:formula>
    </x:cfRule>
  </x:conditionalFormatting>
  <x:conditionalFormatting sqref="Q2:Q101">
    <x:cfRule type="expression" dxfId="1" priority="2">
      <x:formula>Q2="Verified"</x:formula>
    </x:cfRule>
    <x:cfRule type="expression" dxfId="2" priority="3">
      <x:formula>Q2="Needs verification"</x:formula>
    </x:cfRule>
  </x:conditionalFormatting>
  <x:conditionalFormatting sqref="X2:Y101">
    <x:cfRule type="expression" dxfId="3" priority="4">
      <x:formula>X2=TRUE</x:formula>
    </x:cfRule>
  </x:conditionalFormatting>
  <x:pageMargins left="0.7" right="0.7" top="0.75" bottom="0.75" header="0.3" footer="0.3"/>
  <x:tableParts count="1">
    <x:tablePart xmlns:r="http://schemas.openxmlformats.org/officeDocument/2006/relationships" r:id="R12fbbab8f6334c1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s>
  <x:sheetData>
    <x:row r="1">
      <x:c r="A1" s="266" t="str">
        <x:v>offer_id</x:v>
      </x:c>
      <x:c r="B1" s="266" t="str">
        <x:v>tool</x:v>
      </x:c>
    </x:row>
    <x:row r="2">
      <x:c r="A2" t="str">
        <x:v>1</x:v>
      </x:c>
      <x:c r="B2" t="str">
        <x:v>MS Office</x:v>
      </x:c>
    </x:row>
    <x:row r="3">
      <x:c r="A3" t="str">
        <x:v>6</x:v>
      </x:c>
      <x:c r="B3" t="str">
        <x:v>Power BI</x:v>
      </x:c>
    </x:row>
    <x:row r="4">
      <x:c r="A4" t="str">
        <x:v>6</x:v>
      </x:c>
      <x:c r="B4" t="str">
        <x:v>SQL</x:v>
      </x:c>
    </x:row>
    <x:row r="5">
      <x:c r="A5" t="str">
        <x:v>8</x:v>
      </x:c>
      <x:c r="B5" t="str">
        <x:v>Excel</x:v>
      </x:c>
    </x:row>
    <x:row r="6">
      <x:c r="A6" t="str">
        <x:v>8</x:v>
      </x:c>
      <x:c r="B6" t="str">
        <x:v>Power BI</x:v>
      </x:c>
    </x:row>
    <x:row r="7">
      <x:c r="A7" t="str">
        <x:v>8</x:v>
      </x:c>
      <x:c r="B7" t="str">
        <x:v>SQL</x:v>
      </x:c>
    </x:row>
    <x:row r="8">
      <x:c r="A8" t="str">
        <x:v>11</x:v>
      </x:c>
      <x:c r="B8" t="str">
        <x:v>MS Office</x:v>
      </x:c>
    </x:row>
    <x:row r="9">
      <x:c r="A9" t="str">
        <x:v>11</x:v>
      </x:c>
      <x:c r="B9" t="str">
        <x:v>SQL</x:v>
      </x:c>
    </x:row>
    <x:row r="10">
      <x:c r="A10" t="str">
        <x:v>11</x:v>
      </x:c>
      <x:c r="B10" t="str">
        <x:v>BPMN</x:v>
      </x:c>
    </x:row>
    <x:row r="11">
      <x:c r="A11" t="str">
        <x:v>11</x:v>
      </x:c>
      <x:c r="B11" t="str">
        <x:v>UML</x:v>
      </x:c>
    </x:row>
    <x:row r="12">
      <x:c r="A12" t="str">
        <x:v>11</x:v>
      </x:c>
      <x:c r="B12" t="str">
        <x:v>GitLab</x:v>
      </x:c>
    </x:row>
    <x:row r="13">
      <x:c r="A13" t="str">
        <x:v>11</x:v>
      </x:c>
      <x:c r="B13" t="str">
        <x:v>Postman</x:v>
      </x:c>
    </x:row>
    <x:row r="14">
      <x:c r="A14" t="str">
        <x:v>13</x:v>
      </x:c>
      <x:c r="B14" t="str">
        <x:v>Excel</x:v>
      </x:c>
    </x:row>
    <x:row r="15">
      <x:c r="A15" t="str">
        <x:v>13</x:v>
      </x:c>
      <x:c r="B15" t="str">
        <x:v>Power BI</x:v>
      </x:c>
    </x:row>
    <x:row r="16">
      <x:c r="A16" t="str">
        <x:v>17</x:v>
      </x:c>
      <x:c r="B16" t="str">
        <x:v>Excel</x:v>
      </x:c>
    </x:row>
    <x:row r="17">
      <x:c r="A17" t="str">
        <x:v>17</x:v>
      </x:c>
      <x:c r="B17" t="str">
        <x:v>MS Office</x:v>
      </x:c>
    </x:row>
    <x:row r="18">
      <x:c r="A18" t="str">
        <x:v>18</x:v>
      </x:c>
      <x:c r="B18" t="str">
        <x:v>Excel</x:v>
      </x:c>
    </x:row>
    <x:row r="19">
      <x:c r="A19" t="str">
        <x:v>18</x:v>
      </x:c>
      <x:c r="B19" t="str">
        <x:v>MS Office</x:v>
      </x:c>
    </x:row>
    <x:row r="20">
      <x:c r="A20" t="str">
        <x:v>18</x:v>
      </x:c>
      <x:c r="B20" t="str">
        <x:v>PowerPoint</x:v>
      </x:c>
    </x:row>
    <x:row r="21">
      <x:c r="A21" t="str">
        <x:v>27</x:v>
      </x:c>
      <x:c r="B21" t="str">
        <x:v>Python</x:v>
      </x:c>
    </x:row>
    <x:row r="22">
      <x:c r="A22" t="str">
        <x:v>29</x:v>
      </x:c>
      <x:c r="B22" t="str">
        <x:v>SAP</x:v>
      </x:c>
    </x:row>
    <x:row r="23">
      <x:c r="A23" t="str">
        <x:v>47</x:v>
      </x:c>
      <x:c r="B23" t="str">
        <x:v>BI tools</x:v>
      </x:c>
    </x:row>
    <x:row r="24">
      <x:c r="A24" t="str">
        <x:v>48</x:v>
      </x:c>
      <x:c r="B24" t="str">
        <x:v>BI tools</x:v>
      </x:c>
    </x:row>
    <x:row r="25">
      <x:c r="A25" t="str">
        <x:v>49</x:v>
      </x:c>
      <x:c r="B25" t="str">
        <x:v>BI tools</x:v>
      </x:c>
    </x:row>
    <x:row r="26">
      <x:c r="A26" t="str">
        <x:v>50</x:v>
      </x:c>
      <x:c r="B26" t="str">
        <x:v>BI tools</x:v>
      </x:c>
    </x:row>
    <x:row r="27">
      <x:c r="A27" t="str">
        <x:v>63</x:v>
      </x:c>
      <x:c r="B27" t="str">
        <x:v>MS Office</x:v>
      </x:c>
    </x:row>
    <x:row r="28">
      <x:c r="A28" t="str">
        <x:v>68</x:v>
      </x:c>
      <x:c r="B28" t="str">
        <x:v>Qlik</x:v>
      </x:c>
    </x:row>
    <x:row r="29">
      <x:c r="A29" t="str">
        <x:v>68</x:v>
      </x:c>
      <x:c r="B29" t="str">
        <x:v>SharePoint</x:v>
      </x:c>
    </x:row>
    <x:row r="30">
      <x:c r="A30" t="str">
        <x:v>69</x:v>
      </x:c>
      <x:c r="B30" t="str">
        <x:v>Excel</x:v>
      </x:c>
    </x:row>
    <x:row r="31">
      <x:c r="A31" t="str">
        <x:v>69</x:v>
      </x:c>
      <x:c r="B31" t="str">
        <x:v>MS Office</x:v>
      </x:c>
    </x:row>
    <x:row r="32">
      <x:c r="A32" t="str">
        <x:v>71</x:v>
      </x:c>
      <x:c r="B32" t="str">
        <x:v>Excel</x:v>
      </x:c>
    </x:row>
    <x:row r="33">
      <x:c r="A33" t="str">
        <x:v>71</x:v>
      </x:c>
      <x:c r="B33" t="str">
        <x:v>MS Office</x:v>
      </x:c>
    </x:row>
    <x:row r="34">
      <x:c r="A34" t="str">
        <x:v>72</x:v>
      </x:c>
      <x:c r="B34" t="str">
        <x:v>SQL</x:v>
      </x:c>
    </x:row>
    <x:row r="35">
      <x:c r="A35" t="str">
        <x:v>72</x:v>
      </x:c>
      <x:c r="B35" t="str">
        <x:v>Python</x:v>
      </x:c>
    </x:row>
    <x:row r="36">
      <x:c r="A36" t="str">
        <x:v>72</x:v>
      </x:c>
      <x:c r="B36" t="str">
        <x:v>R</x:v>
      </x:c>
    </x:row>
    <x:row r="37">
      <x:c r="A37" t="str">
        <x:v>72</x:v>
      </x:c>
      <x:c r="B37" t="str">
        <x:v>BI tools</x:v>
      </x:c>
    </x:row>
    <x:row r="38">
      <x:c r="A38" t="str">
        <x:v>74</x:v>
      </x:c>
      <x:c r="B38" t="str">
        <x:v>Excel</x:v>
      </x:c>
    </x:row>
    <x:row r="39">
      <x:c r="A39" t="str">
        <x:v>75</x:v>
      </x:c>
      <x:c r="B39" t="str">
        <x:v>MS Office</x:v>
      </x:c>
    </x:row>
    <x:row r="40">
      <x:c r="A40" t="str">
        <x:v>77</x:v>
      </x:c>
      <x:c r="B40" t="str">
        <x:v>SQL</x:v>
      </x:c>
    </x:row>
    <x:row r="41">
      <x:c r="A41" t="str">
        <x:v>77</x:v>
      </x:c>
      <x:c r="B41" t="str">
        <x:v>Data warehouse</x:v>
      </x:c>
    </x:row>
    <x:row r="42">
      <x:c r="A42" t="str">
        <x:v>81</x:v>
      </x:c>
      <x:c r="B42" t="str">
        <x:v>SQL</x:v>
      </x:c>
    </x:row>
    <x:row r="43">
      <x:c r="A43" t="str">
        <x:v>81</x:v>
      </x:c>
      <x:c r="B43" t="str">
        <x:v>Azure</x:v>
      </x:c>
    </x:row>
    <x:row r="44">
      <x:c r="A44" t="str">
        <x:v>83</x:v>
      </x:c>
      <x:c r="B44" t="str">
        <x:v>Excel</x:v>
      </x:c>
    </x:row>
    <x:row r="45">
      <x:c r="A45" t="str">
        <x:v>83</x:v>
      </x:c>
      <x:c r="B45" t="str">
        <x:v>Power BI</x:v>
      </x:c>
    </x:row>
    <x:row r="46">
      <x:c r="A46" t="str">
        <x:v>84</x:v>
      </x:c>
      <x:c r="B46" t="str">
        <x:v>Excel</x:v>
      </x:c>
    </x:row>
    <x:row r="47">
      <x:c r="A47" t="str">
        <x:v>84</x:v>
      </x:c>
      <x:c r="B47" t="str">
        <x:v>Power BI</x:v>
      </x:c>
    </x:row>
    <x:row r="48">
      <x:c r="A48" t="str">
        <x:v>84</x:v>
      </x:c>
      <x:c r="B48" t="str">
        <x:v>SQL</x:v>
      </x:c>
    </x:row>
    <x:row r="49">
      <x:c r="A49" t="str">
        <x:v>85</x:v>
      </x:c>
      <x:c r="B49" t="str">
        <x:v>Excel</x:v>
      </x:c>
    </x:row>
    <x:row r="50">
      <x:c r="A50" t="str">
        <x:v>85</x:v>
      </x:c>
      <x:c r="B50" t="str">
        <x:v>Power BI</x:v>
      </x:c>
    </x:row>
    <x:row r="51">
      <x:c r="A51" t="str">
        <x:v>86</x:v>
      </x:c>
      <x:c r="B51" t="str">
        <x:v>Excel</x:v>
      </x:c>
    </x:row>
    <x:row r="52">
      <x:c r="A52" t="str">
        <x:v>86</x:v>
      </x:c>
      <x:c r="B52" t="str">
        <x:v>Power BI</x:v>
      </x:c>
    </x:row>
    <x:row r="53">
      <x:c r="A53" t="str">
        <x:v>87</x:v>
      </x:c>
      <x:c r="B53" t="str">
        <x:v>MS Office</x:v>
      </x:c>
    </x:row>
    <x:row r="54">
      <x:c r="A54" t="str">
        <x:v>88</x:v>
      </x:c>
      <x:c r="B54" t="str">
        <x:v>MS Office</x:v>
      </x:c>
    </x:row>
    <x:row r="55">
      <x:c r="A55" t="str">
        <x:v>89</x:v>
      </x:c>
      <x:c r="B55" t="str">
        <x:v>MS Office</x:v>
      </x:c>
    </x:row>
    <x:row r="56">
      <x:c r="A56" t="str">
        <x:v>90</x:v>
      </x:c>
      <x:c r="B56" t="str">
        <x:v>MS Office</x:v>
      </x:c>
    </x:row>
    <x:row r="57">
      <x:c r="A57" t="str">
        <x:v>90</x:v>
      </x:c>
      <x:c r="B57" t="str">
        <x:v>CRM</x:v>
      </x:c>
    </x:row>
    <x:row r="58">
      <x:c r="A58" t="str">
        <x:v>91</x:v>
      </x:c>
      <x:c r="B58" t="str">
        <x:v>MS Office</x:v>
      </x:c>
    </x:row>
    <x:row r="59">
      <x:c r="A59" t="str">
        <x:v>92</x:v>
      </x:c>
      <x:c r="B59" t="str">
        <x:v>SQL</x:v>
      </x:c>
    </x:row>
    <x:row r="60">
      <x:c r="A60" t="str">
        <x:v>92</x:v>
      </x:c>
      <x:c r="B60" t="str">
        <x:v>Python</x:v>
      </x:c>
    </x:row>
    <x:row r="61">
      <x:c r="A61" t="str">
        <x:v>92</x:v>
      </x:c>
      <x:c r="B61" t="str">
        <x:v>BI tools</x:v>
      </x:c>
    </x:row>
    <x:row r="62">
      <x:c r="A62" t="str">
        <x:v>93</x:v>
      </x:c>
      <x:c r="B62" t="str">
        <x:v>Jira</x:v>
      </x:c>
    </x:row>
    <x:row r="63">
      <x:c r="A63" t="str">
        <x:v>93</x:v>
      </x:c>
      <x:c r="B63" t="str">
        <x:v>Confluence</x:v>
      </x:c>
    </x:row>
    <x:row r="64">
      <x:c r="A64" t="str">
        <x:v>93</x:v>
      </x:c>
      <x:c r="B64" t="str">
        <x:v>UML</x:v>
      </x:c>
    </x:row>
    <x:row r="65">
      <x:c r="A65" t="str">
        <x:v>94</x:v>
      </x:c>
      <x:c r="B65" t="str">
        <x:v>Excel</x:v>
      </x:c>
    </x:row>
    <x:row r="66">
      <x:c r="A66" t="str">
        <x:v>94</x:v>
      </x:c>
      <x:c r="B66" t="str">
        <x:v>Power BI</x:v>
      </x:c>
    </x:row>
    <x:row r="67">
      <x:c r="A67" t="str">
        <x:v>94</x:v>
      </x:c>
      <x:c r="B67" t="str">
        <x:v>SQL</x:v>
      </x:c>
    </x:row>
    <x:row r="68">
      <x:c r="A68" t="str">
        <x:v>95</x:v>
      </x:c>
      <x:c r="B68" t="str">
        <x:v>Excel</x:v>
      </x:c>
    </x:row>
    <x:row r="69">
      <x:c r="A69" t="str">
        <x:v>95</x:v>
      </x:c>
      <x:c r="B69" t="str">
        <x:v>Power BI</x:v>
      </x:c>
    </x:row>
    <x:row r="70">
      <x:c r="A70" t="str">
        <x:v>95</x:v>
      </x:c>
      <x:c r="B70" t="str">
        <x:v>SQL</x:v>
      </x:c>
    </x:row>
    <x:row r="71">
      <x:c r="A71" t="str">
        <x:v>96</x:v>
      </x:c>
      <x:c r="B71" t="str">
        <x:v>Excel</x:v>
      </x:c>
    </x:row>
    <x:row r="72">
      <x:c r="A72" t="str">
        <x:v>96</x:v>
      </x:c>
      <x:c r="B72" t="str">
        <x:v>Power BI</x:v>
      </x:c>
    </x:row>
    <x:row r="73">
      <x:c r="A73" t="str">
        <x:v>97</x:v>
      </x:c>
      <x:c r="B73" t="str">
        <x:v>MS Office</x:v>
      </x:c>
    </x:row>
    <x:row r="74">
      <x:c r="A74" t="str">
        <x:v>98</x:v>
      </x:c>
      <x:c r="B74" t="str">
        <x:v>Excel</x:v>
      </x:c>
    </x:row>
    <x:row r="75">
      <x:c r="A75" t="str">
        <x:v>99</x:v>
      </x:c>
      <x:c r="B75" t="str">
        <x:v>Excel</x:v>
      </x:c>
    </x:row>
    <x:row r="76">
      <x:c r="A76" t="str">
        <x:v>99</x:v>
      </x:c>
      <x:c r="B76" t="str">
        <x:v>Power BI</x:v>
      </x:c>
    </x:row>
    <x:row r="77">
      <x:c r="A77" t="str">
        <x:v>99</x:v>
      </x:c>
      <x:c r="B77" t="str">
        <x:v>SQL</x:v>
      </x:c>
    </x:row>
    <x:row r="78">
      <x:c r="A78" t="str">
        <x:v>100</x:v>
      </x:c>
      <x:c r="B78" t="str">
        <x:v>MS Office</x:v>
      </x:c>
    </x:row>
  </x:sheetData>
  <x:pageMargins left="0.7" right="0.7" top="0.75" bottom="0.75" header="0.3" footer="0.3"/>
  <x:tableParts count="1">
    <x:tablePart xmlns:r="http://schemas.openxmlformats.org/officeDocument/2006/relationships" r:id="R0e1d91f362334afb"/>
  </x:tableParts>
</x:worksheet>
</file>